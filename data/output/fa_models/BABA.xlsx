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Balance Sheet" sheetId="2" r:id="rId2"/>
    <sheet name="Income Statement" sheetId="3" r:id="rId3"/>
    <sheet name="Cash Flow" sheetId="4" r:id="rId4"/>
  </sheets>
  <calcPr calcId="124519" fullCalcOnLoad="1"/>
</workbook>
</file>

<file path=xl/sharedStrings.xml><?xml version="1.0" encoding="utf-8"?>
<sst xmlns="http://schemas.openxmlformats.org/spreadsheetml/2006/main" count="71" uniqueCount="69">
  <si>
    <t>USD (in millions)</t>
  </si>
  <si>
    <t>Total Assets</t>
  </si>
  <si>
    <t>Current Assets</t>
  </si>
  <si>
    <t>Cash &amp; Short Inv</t>
  </si>
  <si>
    <t>Inventory</t>
  </si>
  <si>
    <t>Non-Current Assets</t>
  </si>
  <si>
    <t>PPE</t>
  </si>
  <si>
    <t>Total Liabilities</t>
  </si>
  <si>
    <t>Current Liabilities</t>
  </si>
  <si>
    <t>Short Term Debt</t>
  </si>
  <si>
    <t>Non-Current Liabilities</t>
  </si>
  <si>
    <t>Long Term Debt</t>
  </si>
  <si>
    <t>Total Equity</t>
  </si>
  <si>
    <t>Common Equity</t>
  </si>
  <si>
    <t>Retained Earnings</t>
  </si>
  <si>
    <t>Net Debt</t>
  </si>
  <si>
    <t>Tangible Assets</t>
  </si>
  <si>
    <t>CapitalEmployed</t>
  </si>
  <si>
    <t>Invested Capital</t>
  </si>
  <si>
    <t>NCAV</t>
  </si>
  <si>
    <t>Shares</t>
  </si>
  <si>
    <t>D_E</t>
  </si>
  <si>
    <t>AssetsGrowth</t>
  </si>
  <si>
    <t>TAGrowth</t>
  </si>
  <si>
    <t>EquityGrowth</t>
  </si>
  <si>
    <t>ICGrowth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</si>
  <si>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</si>
  <si>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</si>
  <si>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</si>
  <si>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</si>
  <si>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</si>
  <si>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</si>
  <si>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</si>
  <si>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</si>
  <si>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</si>
  <si>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</si>
  <si>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</si>
  <si>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</si>
  <si>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</si>
  <si>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</si>
  <si>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</si>
  <si>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</si>
  <si>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AvgShares</t>
  </si>
  <si>
    <t>RevGrowth</t>
  </si>
  <si>
    <t>GrossMargin</t>
  </si>
  <si>
    <t>OpMargin</t>
  </si>
  <si>
    <t>NetMargin</t>
  </si>
  <si>
    <t>SG&amp;A_Rev</t>
  </si>
  <si>
    <t>R&amp;D_Rev</t>
  </si>
  <si>
    <t>OtherEx_Rev</t>
  </si>
  <si>
    <t>EPS</t>
  </si>
  <si>
    <t>D&amp;A</t>
  </si>
  <si>
    <t>Non-Cash Adj</t>
  </si>
  <si>
    <t>CFFO</t>
  </si>
  <si>
    <t>CFFI</t>
  </si>
  <si>
    <t>CFFF</t>
  </si>
  <si>
    <t>Changes In Cash</t>
  </si>
  <si>
    <t>OCF</t>
  </si>
  <si>
    <t>CapEx</t>
  </si>
  <si>
    <t>FCF</t>
  </si>
  <si>
    <t>CFGrowth</t>
  </si>
  <si>
    <t>CXChange</t>
  </si>
  <si>
    <t>FCFGrowth</t>
  </si>
  <si>
    <t>FCFMargin</t>
  </si>
  <si>
    <t>Price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</si>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</sst>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"/>
    <numFmt numFmtId="166" formatCode="0.00"/>
    <numFmt numFmtId="167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9"/>
  <sheetViews>
    <sheetView tabSelected="1" workbookViewId="0"/>
  </sheetViews>
  <sheetFormatPr defaultRowHeight="15"/>
  <cols>
    <col min="2" max="2" width="19.7109375" customWidth="1"/>
    <col min="9" max="9" width="8.7109375" customWidth="1"/>
  </cols>
  <sheetData>
    <row r="3" spans="2:10">
      <c r="B3" s="1" t="s">
        <v>0</v>
      </c>
      <c r="I3" s="1" t="s">
        <v>64</v>
      </c>
      <c r="J3" s="2">
        <v>162.51</v>
      </c>
    </row>
    <row r="4" spans="2:10">
      <c r="I4" s="1" t="s">
        <v>20</v>
      </c>
      <c r="J4" s="3">
        <v>2387.329365774414</v>
      </c>
    </row>
    <row r="5" spans="2:10">
      <c r="I5" s="1" t="s">
        <v>65</v>
      </c>
      <c r="J5" s="3">
        <f>J3*J4</f>
        <v>0</v>
      </c>
    </row>
    <row r="6" spans="2:10">
      <c r="I6" s="1" t="s">
        <v>66</v>
      </c>
      <c r="J6" s="3">
        <v>58943</v>
      </c>
    </row>
    <row r="7" spans="2:10">
      <c r="I7" s="1" t="s">
        <v>67</v>
      </c>
      <c r="J7" s="3">
        <v>34162</v>
      </c>
    </row>
    <row r="8" spans="2:10">
      <c r="I8" s="1" t="s">
        <v>68</v>
      </c>
      <c r="J8" s="3">
        <f>J5+J7-J6</f>
        <v>0</v>
      </c>
    </row>
    <row r="9" spans="2:10">
      <c r="J9" s="4">
        <f>J8/'Income Statement'!F10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28"/>
  <sheetViews>
    <sheetView workbookViewId="0"/>
  </sheetViews>
  <sheetFormatPr defaultRowHeight="15"/>
  <cols>
    <col min="2" max="2" width="25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1</v>
      </c>
      <c r="C3" s="3">
        <f>C4+C7</f>
        <v>0</v>
      </c>
      <c r="D3" s="3">
        <f>D4+D7</f>
        <v>0</v>
      </c>
      <c r="E3" s="3">
        <f>E4+E7</f>
        <v>0</v>
      </c>
      <c r="F3" s="3">
        <f>F4+F7</f>
        <v>0</v>
      </c>
    </row>
    <row r="4" spans="2:6">
      <c r="B4" s="1" t="s">
        <v>2</v>
      </c>
      <c r="C4" s="3">
        <v>100617</v>
      </c>
      <c r="D4" s="3">
        <v>101590</v>
      </c>
      <c r="E4" s="3">
        <v>104181</v>
      </c>
      <c r="F4" s="3">
        <v>92808</v>
      </c>
    </row>
    <row r="5" spans="2:6">
      <c r="B5" s="1" t="s">
        <v>3</v>
      </c>
      <c r="C5" s="3">
        <v>71710</v>
      </c>
      <c r="D5" s="3">
        <v>76338</v>
      </c>
      <c r="E5" s="3">
        <v>79019</v>
      </c>
      <c r="F5" s="3">
        <v>58943</v>
      </c>
    </row>
    <row r="6" spans="2:6">
      <c r="B6" s="1" t="s">
        <v>4</v>
      </c>
      <c r="C6" s="3">
        <v>4741</v>
      </c>
      <c r="D6" s="3">
        <v>4155</v>
      </c>
      <c r="E6" s="3">
        <v>3523</v>
      </c>
      <c r="F6" s="3">
        <v>2601</v>
      </c>
    </row>
    <row r="7" spans="2:6">
      <c r="B7" s="1" t="s">
        <v>5</v>
      </c>
      <c r="C7" s="3">
        <v>166559</v>
      </c>
      <c r="D7" s="3">
        <v>153569</v>
      </c>
      <c r="E7" s="3">
        <v>140035</v>
      </c>
      <c r="F7" s="3">
        <v>155612</v>
      </c>
    </row>
    <row r="8" spans="2:6">
      <c r="B8" s="1" t="s">
        <v>6</v>
      </c>
      <c r="C8" s="3">
        <v>39937</v>
      </c>
      <c r="D8" s="3">
        <v>37470</v>
      </c>
      <c r="E8" s="3">
        <v>37838</v>
      </c>
      <c r="F8" s="3">
        <v>34332</v>
      </c>
    </row>
    <row r="9" spans="2:6">
      <c r="B9" s="1" t="s">
        <v>7</v>
      </c>
      <c r="C9" s="3">
        <f>C10+C12</f>
        <v>0</v>
      </c>
      <c r="D9" s="3">
        <f>D10+D12</f>
        <v>0</v>
      </c>
      <c r="E9" s="3">
        <f>E10+E12</f>
        <v>0</v>
      </c>
      <c r="F9" s="3">
        <f>F10+F12</f>
        <v>0</v>
      </c>
    </row>
    <row r="10" spans="2:6">
      <c r="B10" s="1" t="s">
        <v>8</v>
      </c>
      <c r="C10" s="3">
        <v>60475</v>
      </c>
      <c r="D10" s="3">
        <v>56089</v>
      </c>
      <c r="E10" s="3">
        <v>58328</v>
      </c>
      <c r="F10" s="3">
        <v>59942</v>
      </c>
    </row>
    <row r="11" spans="2:6">
      <c r="B11" s="1" t="s">
        <v>9</v>
      </c>
      <c r="C11" s="3">
        <v>2180</v>
      </c>
      <c r="D11" s="3">
        <v>2610</v>
      </c>
      <c r="E11" s="3">
        <v>4826</v>
      </c>
      <c r="F11" s="3">
        <v>3650</v>
      </c>
    </row>
    <row r="12" spans="2:6">
      <c r="B12" s="1" t="s">
        <v>10</v>
      </c>
      <c r="C12" s="3">
        <v>36175</v>
      </c>
      <c r="D12" s="3">
        <v>35627</v>
      </c>
      <c r="E12" s="3">
        <v>31927</v>
      </c>
      <c r="F12" s="3">
        <v>38384</v>
      </c>
    </row>
    <row r="13" spans="2:6">
      <c r="B13" s="1" t="s">
        <v>11</v>
      </c>
      <c r="C13" s="3">
        <v>25647</v>
      </c>
      <c r="D13" s="3">
        <v>25855</v>
      </c>
      <c r="E13" s="3">
        <v>23627</v>
      </c>
      <c r="F13" s="3">
        <v>30512</v>
      </c>
    </row>
    <row r="14" spans="2:6">
      <c r="B14" s="1" t="s">
        <v>12</v>
      </c>
      <c r="C14" s="3">
        <f>C3+C9</f>
        <v>0</v>
      </c>
      <c r="D14" s="3">
        <f>D3+D9</f>
        <v>0</v>
      </c>
      <c r="E14" s="3">
        <f>E3+E9</f>
        <v>0</v>
      </c>
      <c r="F14" s="3">
        <f>F3+F9</f>
        <v>0</v>
      </c>
    </row>
    <row r="15" spans="2:6">
      <c r="B15" s="1" t="s">
        <v>13</v>
      </c>
      <c r="C15" s="3">
        <v>149456</v>
      </c>
      <c r="D15" s="3">
        <v>144046</v>
      </c>
      <c r="E15" s="3">
        <v>136518</v>
      </c>
      <c r="F15" s="3">
        <v>139045</v>
      </c>
    </row>
    <row r="16" spans="2:6">
      <c r="B16" s="1" t="s">
        <v>14</v>
      </c>
      <c r="C16" s="3">
        <v>88802</v>
      </c>
      <c r="D16" s="3">
        <v>87190</v>
      </c>
      <c r="E16" s="3">
        <v>82737</v>
      </c>
      <c r="F16" s="3">
        <v>88875</v>
      </c>
    </row>
    <row r="17" spans="2:6">
      <c r="B17" s="1" t="s">
        <v>15</v>
      </c>
      <c r="C17" s="3">
        <v>-43883</v>
      </c>
      <c r="D17" s="3">
        <v>-47872</v>
      </c>
      <c r="E17" s="3">
        <v>-50566</v>
      </c>
      <c r="F17" s="3">
        <v>-24781</v>
      </c>
    </row>
    <row r="18" spans="2:6">
      <c r="B18" s="1" t="s">
        <v>16</v>
      </c>
      <c r="C18" s="3">
        <v>44678</v>
      </c>
      <c r="D18" s="3">
        <v>41625</v>
      </c>
      <c r="E18" s="3">
        <v>41361</v>
      </c>
      <c r="F18" s="3">
        <v>36933</v>
      </c>
    </row>
    <row r="19" spans="2:6">
      <c r="B19" s="1" t="s">
        <v>17</v>
      </c>
      <c r="C19" s="3">
        <v>206701</v>
      </c>
      <c r="D19" s="3">
        <v>199070</v>
      </c>
      <c r="E19" s="3">
        <v>185888</v>
      </c>
      <c r="F19" s="3">
        <v>188478</v>
      </c>
    </row>
    <row r="20" spans="2:6">
      <c r="B20" s="1" t="s">
        <v>18</v>
      </c>
      <c r="C20" s="3">
        <v>170526</v>
      </c>
      <c r="D20" s="3">
        <v>163443</v>
      </c>
      <c r="E20" s="3">
        <v>153961</v>
      </c>
      <c r="F20" s="3">
        <v>161828</v>
      </c>
    </row>
    <row r="21" spans="2:6">
      <c r="B21" s="1" t="s">
        <v>19</v>
      </c>
      <c r="C21" s="3">
        <v>3967</v>
      </c>
      <c r="D21" s="3">
        <v>9875</v>
      </c>
      <c r="E21" s="3">
        <v>13926</v>
      </c>
      <c r="F21" s="3">
        <v>-5517</v>
      </c>
    </row>
    <row r="22" spans="2:6">
      <c r="B22" s="1" t="s">
        <v>20</v>
      </c>
      <c r="C22" s="3">
        <v>21357</v>
      </c>
      <c r="D22" s="3">
        <v>20526</v>
      </c>
      <c r="E22" s="3">
        <v>19469</v>
      </c>
      <c r="F22" s="3">
        <v>18997</v>
      </c>
    </row>
    <row r="23" spans="2:6">
      <c r="B23" s="1"/>
    </row>
    <row r="24" spans="2:6">
      <c r="B24" s="1" t="s">
        <v>21</v>
      </c>
      <c r="C24" s="4">
        <v>0.1632</v>
      </c>
      <c r="D24" s="4">
        <v>0.1742</v>
      </c>
      <c r="E24" s="4">
        <v>0.1848</v>
      </c>
      <c r="F24" s="4">
        <v>0.2276</v>
      </c>
    </row>
    <row r="25" spans="2:6">
      <c r="B25" s="1" t="s">
        <v>22</v>
      </c>
      <c r="C25" s="6">
        <v>0</v>
      </c>
      <c r="D25" s="6">
        <v>-0.045</v>
      </c>
      <c r="E25" s="6">
        <v>-0.0429</v>
      </c>
      <c r="F25" s="6">
        <v>0.0172</v>
      </c>
    </row>
    <row r="26" spans="2:6">
      <c r="B26" s="1" t="s">
        <v>23</v>
      </c>
      <c r="C26" s="6">
        <v>0</v>
      </c>
      <c r="D26" s="6">
        <v>-0.0683</v>
      </c>
      <c r="E26" s="6">
        <v>-0.0064</v>
      </c>
      <c r="F26" s="6">
        <v>-0.1071</v>
      </c>
    </row>
    <row r="27" spans="2:6">
      <c r="B27" s="1" t="s">
        <v>24</v>
      </c>
      <c r="C27" s="6">
        <v>0</v>
      </c>
      <c r="D27" s="6">
        <v>-0.0362</v>
      </c>
      <c r="E27" s="6">
        <v>-0.05230000000000001</v>
      </c>
      <c r="F27" s="6">
        <v>0.0185</v>
      </c>
    </row>
    <row r="28" spans="2:6">
      <c r="B28" s="1" t="s">
        <v>25</v>
      </c>
      <c r="C28" s="6">
        <v>0</v>
      </c>
      <c r="D28" s="6">
        <v>-0.0415</v>
      </c>
      <c r="E28" s="6">
        <v>-0.058</v>
      </c>
      <c r="F28" s="6">
        <v>0.05110000000000001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8"/>
  <sheetViews>
    <sheetView workbookViewId="0"/>
  </sheetViews>
  <sheetFormatPr defaultRowHeight="15"/>
  <cols>
    <col min="2" max="2" width="20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26</v>
      </c>
      <c r="C3" s="3">
        <v>134421</v>
      </c>
      <c r="D3" s="3">
        <v>126439</v>
      </c>
      <c r="E3" s="3">
        <v>130238</v>
      </c>
      <c r="F3" s="3">
        <v>137185</v>
      </c>
    </row>
    <row r="4" spans="2:6">
      <c r="B4" s="1" t="s">
        <v>27</v>
      </c>
      <c r="C4" s="3">
        <v>-85004</v>
      </c>
      <c r="D4" s="3">
        <v>-80009</v>
      </c>
      <c r="E4" s="3">
        <v>-81135</v>
      </c>
      <c r="F4" s="3">
        <v>-82377</v>
      </c>
    </row>
    <row r="5" spans="2:6">
      <c r="B5" s="1" t="s">
        <v>28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</row>
    <row r="6" spans="2:6">
      <c r="B6" s="1" t="s">
        <v>29</v>
      </c>
      <c r="C6" s="3">
        <v>-23907</v>
      </c>
      <c r="D6" s="3">
        <v>-21204</v>
      </c>
      <c r="E6" s="3">
        <v>-21743</v>
      </c>
      <c r="F6" s="3">
        <v>-25921</v>
      </c>
    </row>
    <row r="7" spans="2:6">
      <c r="B7" s="1" t="s">
        <v>30</v>
      </c>
      <c r="C7" s="3">
        <v>-8740</v>
      </c>
      <c r="D7" s="3">
        <v>-8259</v>
      </c>
      <c r="E7" s="3">
        <v>-7231</v>
      </c>
      <c r="F7" s="3">
        <v>-7869</v>
      </c>
    </row>
    <row r="8" spans="2:6">
      <c r="B8" s="1" t="s">
        <v>31</v>
      </c>
      <c r="C8" s="3">
        <v>-1835</v>
      </c>
      <c r="D8" s="3">
        <v>-1966</v>
      </c>
      <c r="E8" s="3">
        <v>-2988</v>
      </c>
      <c r="F8" s="3">
        <v>-768</v>
      </c>
    </row>
    <row r="9" spans="2:6">
      <c r="B9" s="1" t="s">
        <v>32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33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</row>
    <row r="11" spans="2:6">
      <c r="B11" s="1" t="s">
        <v>34</v>
      </c>
      <c r="C11" s="3">
        <v>-3248</v>
      </c>
      <c r="D11" s="3">
        <v>-2473</v>
      </c>
      <c r="E11" s="3">
        <v>-2479</v>
      </c>
      <c r="F11" s="3">
        <v>1537</v>
      </c>
    </row>
    <row r="12" spans="2:6">
      <c r="B12" s="1" t="s">
        <v>35</v>
      </c>
      <c r="C12" s="3">
        <v>-2303</v>
      </c>
      <c r="D12" s="3">
        <v>453</v>
      </c>
      <c r="E12" s="3">
        <v>-604</v>
      </c>
      <c r="F12" s="3">
        <v>-383</v>
      </c>
    </row>
    <row r="13" spans="2:6">
      <c r="B13" s="1" t="s">
        <v>36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</row>
    <row r="14" spans="2:6">
      <c r="B14" s="1" t="s">
        <v>37</v>
      </c>
      <c r="C14" s="3">
        <v>-4225</v>
      </c>
      <c r="D14" s="3">
        <v>-2263</v>
      </c>
      <c r="E14" s="3">
        <v>-3118</v>
      </c>
      <c r="F14" s="3">
        <v>-4880</v>
      </c>
    </row>
    <row r="15" spans="2:6">
      <c r="B15" s="1" t="s">
        <v>38</v>
      </c>
      <c r="C15" s="3">
        <v>4651</v>
      </c>
      <c r="D15" s="3">
        <v>-124</v>
      </c>
      <c r="E15" s="3">
        <v>130</v>
      </c>
      <c r="F15" s="3">
        <v>1391</v>
      </c>
    </row>
    <row r="16" spans="2:6">
      <c r="B16" s="1" t="s">
        <v>39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</row>
    <row r="17" spans="2:6">
      <c r="B17" s="1" t="s">
        <v>40</v>
      </c>
      <c r="C17" s="3">
        <v>-46</v>
      </c>
      <c r="D17" s="3">
        <v>-40</v>
      </c>
      <c r="E17" s="3">
        <v>-37</v>
      </c>
      <c r="F17" s="3">
        <v>-88</v>
      </c>
    </row>
    <row r="18" spans="2:6">
      <c r="B18" s="1" t="s">
        <v>41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</row>
    <row r="19" spans="2:6">
      <c r="B19" s="1" t="s">
        <v>42</v>
      </c>
      <c r="C19" s="3">
        <v>2723</v>
      </c>
      <c r="D19" s="3">
        <v>2639</v>
      </c>
      <c r="E19" s="3">
        <v>2545</v>
      </c>
      <c r="F19" s="3">
        <v>2415</v>
      </c>
    </row>
    <row r="20" spans="2:6">
      <c r="B20" s="1"/>
    </row>
    <row r="21" spans="2:6">
      <c r="B21" s="1" t="s">
        <v>43</v>
      </c>
      <c r="C21" s="6">
        <v>0</v>
      </c>
      <c r="D21" s="6">
        <f>IFERROR((D3-C3)/C3,0)</f>
        <v>0</v>
      </c>
      <c r="E21" s="6">
        <f>IFERROR((E3-D3)/D3,0)</f>
        <v>0</v>
      </c>
      <c r="F21" s="6">
        <f>IFERROR((F3-E3)/E3,0)</f>
        <v>0</v>
      </c>
    </row>
    <row r="22" spans="2:6">
      <c r="B22" s="1" t="s">
        <v>44</v>
      </c>
      <c r="C22" s="6">
        <f>C5/C3</f>
        <v>0</v>
      </c>
      <c r="D22" s="6">
        <f>D5/D3</f>
        <v>0</v>
      </c>
      <c r="E22" s="6">
        <f>E5/E3</f>
        <v>0</v>
      </c>
      <c r="F22" s="6">
        <f>F5/F3</f>
        <v>0</v>
      </c>
    </row>
    <row r="23" spans="2:6">
      <c r="B23" s="1" t="s">
        <v>45</v>
      </c>
      <c r="C23" s="6">
        <f>C10/C3</f>
        <v>0</v>
      </c>
      <c r="D23" s="6">
        <f>D10/D3</f>
        <v>0</v>
      </c>
      <c r="E23" s="6">
        <f>E10/E3</f>
        <v>0</v>
      </c>
      <c r="F23" s="6">
        <f>F10/F3</f>
        <v>0</v>
      </c>
    </row>
    <row r="24" spans="2:6">
      <c r="B24" s="1" t="s">
        <v>46</v>
      </c>
      <c r="C24" s="6">
        <v>0.0726</v>
      </c>
      <c r="D24" s="6">
        <v>0.08349999999999999</v>
      </c>
      <c r="E24" s="6">
        <v>0.08470000000000001</v>
      </c>
      <c r="F24" s="6">
        <v>0.1299</v>
      </c>
    </row>
    <row r="25" spans="2:6">
      <c r="B25" s="1" t="s">
        <v>47</v>
      </c>
      <c r="C25" s="6">
        <f>C6/C3</f>
        <v>0</v>
      </c>
      <c r="D25" s="6">
        <f>D6/D3</f>
        <v>0</v>
      </c>
      <c r="E25" s="6">
        <f>E6/E3</f>
        <v>0</v>
      </c>
      <c r="F25" s="6">
        <f>F6/F3</f>
        <v>0</v>
      </c>
    </row>
    <row r="26" spans="2:6">
      <c r="B26" s="1" t="s">
        <v>48</v>
      </c>
      <c r="C26" s="6">
        <f>C7/C3</f>
        <v>0</v>
      </c>
      <c r="D26" s="6">
        <f>D7/D3</f>
        <v>0</v>
      </c>
      <c r="E26" s="6">
        <f>E7/E3</f>
        <v>0</v>
      </c>
      <c r="F26" s="6">
        <f>F7/F3</f>
        <v>0</v>
      </c>
    </row>
    <row r="27" spans="2:6">
      <c r="B27" s="1" t="s">
        <v>49</v>
      </c>
      <c r="C27" s="6">
        <f>C8/C3</f>
        <v>0</v>
      </c>
      <c r="D27" s="6">
        <f>D8/D3</f>
        <v>0</v>
      </c>
      <c r="E27" s="6">
        <f>E8/E3</f>
        <v>0</v>
      </c>
      <c r="F27" s="6">
        <f>F8/F3</f>
        <v>0</v>
      </c>
    </row>
    <row r="28" spans="2:6">
      <c r="B28" s="1" t="s">
        <v>50</v>
      </c>
      <c r="C28" s="4">
        <f>C18/C19</f>
        <v>0</v>
      </c>
      <c r="D28" s="4">
        <f>D18/D19</f>
        <v>0</v>
      </c>
      <c r="E28" s="4">
        <f>E18/E19</f>
        <v>0</v>
      </c>
      <c r="F28" s="4">
        <f>F18/F19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17"/>
  <sheetViews>
    <sheetView workbookViewId="0"/>
  </sheetViews>
  <sheetFormatPr defaultRowHeight="15"/>
  <cols>
    <col min="2" max="2" width="17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39</v>
      </c>
      <c r="C3" s="3">
        <v>9809</v>
      </c>
      <c r="D3" s="3">
        <v>10594</v>
      </c>
      <c r="E3" s="3">
        <v>11072</v>
      </c>
      <c r="F3" s="3">
        <v>17914</v>
      </c>
    </row>
    <row r="4" spans="2:6">
      <c r="B4" s="1" t="s">
        <v>51</v>
      </c>
      <c r="C4" s="3">
        <v>7574</v>
      </c>
      <c r="D4" s="3">
        <v>6832</v>
      </c>
      <c r="E4" s="3">
        <v>6158</v>
      </c>
      <c r="F4" s="3">
        <v>5846</v>
      </c>
    </row>
    <row r="5" spans="2:6">
      <c r="B5" s="1" t="s">
        <v>52</v>
      </c>
      <c r="C5" s="3">
        <v>5113</v>
      </c>
      <c r="D5" s="3">
        <v>11649</v>
      </c>
      <c r="E5" s="3">
        <v>8037</v>
      </c>
      <c r="F5" s="3">
        <v>-1247</v>
      </c>
    </row>
    <row r="6" spans="2:6">
      <c r="B6" s="1" t="s">
        <v>53</v>
      </c>
      <c r="C6" s="3">
        <f>C3+C4+C5</f>
        <v>0</v>
      </c>
      <c r="D6" s="3">
        <f>D3+D4+D5</f>
        <v>0</v>
      </c>
      <c r="E6" s="3">
        <f>E3+E4+E5</f>
        <v>0</v>
      </c>
      <c r="F6" s="3">
        <f>F3+F4+F5</f>
        <v>0</v>
      </c>
    </row>
    <row r="7" spans="2:6">
      <c r="B7" s="1" t="s">
        <v>54</v>
      </c>
      <c r="C7" s="3">
        <v>-31293</v>
      </c>
      <c r="D7" s="3">
        <v>-19723</v>
      </c>
      <c r="E7" s="3">
        <v>-3020</v>
      </c>
      <c r="F7" s="3">
        <v>-25529</v>
      </c>
    </row>
    <row r="8" spans="2:6">
      <c r="B8" s="1" t="s">
        <v>55</v>
      </c>
      <c r="C8" s="3">
        <v>-10156</v>
      </c>
      <c r="D8" s="3">
        <v>-9551</v>
      </c>
      <c r="E8" s="3">
        <v>-14979</v>
      </c>
      <c r="F8" s="3">
        <v>-10494</v>
      </c>
    </row>
    <row r="9" spans="2:6">
      <c r="B9" s="1" t="s">
        <v>56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57</v>
      </c>
      <c r="C10" s="3">
        <v>22495</v>
      </c>
      <c r="D10" s="3">
        <v>29074</v>
      </c>
      <c r="E10" s="3">
        <v>25267</v>
      </c>
      <c r="F10" s="3">
        <v>22513</v>
      </c>
    </row>
    <row r="11" spans="2:6">
      <c r="B11" s="1" t="s">
        <v>58</v>
      </c>
      <c r="C11" s="3">
        <v>-8403</v>
      </c>
      <c r="D11" s="3">
        <v>-5000</v>
      </c>
      <c r="E11" s="3">
        <v>-4557</v>
      </c>
      <c r="F11" s="3">
        <v>-11837</v>
      </c>
    </row>
    <row r="12" spans="2:6">
      <c r="B12" s="1" t="s">
        <v>59</v>
      </c>
      <c r="C12" s="3">
        <f>C10+C11</f>
        <v>0</v>
      </c>
      <c r="D12" s="3">
        <f>D10+D11</f>
        <v>0</v>
      </c>
      <c r="E12" s="3">
        <f>E10+E11</f>
        <v>0</v>
      </c>
      <c r="F12" s="3">
        <f>F10+F11</f>
        <v>0</v>
      </c>
    </row>
    <row r="13" spans="2:6">
      <c r="B13" s="1"/>
    </row>
    <row r="14" spans="2:6">
      <c r="B14" s="1" t="s">
        <v>60</v>
      </c>
      <c r="C14" s="6">
        <v>0</v>
      </c>
      <c r="D14" s="6">
        <v>0.2925</v>
      </c>
      <c r="E14" s="6">
        <v>-0.1309</v>
      </c>
      <c r="F14" s="6">
        <v>-0.109</v>
      </c>
    </row>
    <row r="15" spans="2:6">
      <c r="B15" s="1" t="s">
        <v>61</v>
      </c>
      <c r="C15" s="6">
        <v>0</v>
      </c>
      <c r="D15" s="6">
        <v>-0.4049</v>
      </c>
      <c r="E15" s="6">
        <v>-0.08869999999999999</v>
      </c>
      <c r="F15" s="6">
        <v>1.5978</v>
      </c>
    </row>
    <row r="16" spans="2:6">
      <c r="B16" s="1" t="s">
        <v>62</v>
      </c>
      <c r="C16" s="6">
        <v>0</v>
      </c>
      <c r="D16" s="6">
        <v>0.7082999999999999</v>
      </c>
      <c r="E16" s="6">
        <v>-0.1397</v>
      </c>
      <c r="F16" s="6">
        <v>-0.4845</v>
      </c>
    </row>
    <row r="17" spans="2:6">
      <c r="B17" s="1" t="s">
        <v>63</v>
      </c>
      <c r="C17" s="6">
        <v>0.6264999999999999</v>
      </c>
      <c r="D17" s="6">
        <v>0.828</v>
      </c>
      <c r="E17" s="6">
        <v>0.8197</v>
      </c>
      <c r="F17" s="6">
        <v>0.4742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2026-02-07T12:28:09Z</dcterms:created>
  <dcterms:modified xsi:type="dcterms:W3CDTF">2026-02-07T12:28:09Z</dcterms:modified>
</cp:coreProperties>
</file>