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EE6B4A54-8DEA-44E6-9D6B-5DD224B0D165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Main" sheetId="1" r:id="rId1"/>
    <sheet name="Income Statement" sheetId="2" r:id="rId2"/>
    <sheet name="Cash Flow" sheetId="3" r:id="rId3"/>
    <sheet name="Balance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I6" i="2"/>
  <c r="J6" i="2"/>
  <c r="K6" i="2"/>
  <c r="L6" i="2"/>
  <c r="M6" i="2"/>
  <c r="N6" i="2"/>
  <c r="O6" i="2"/>
  <c r="P6" i="2" s="1"/>
  <c r="Q6" i="2" s="1"/>
  <c r="G6" i="2"/>
  <c r="H5" i="2"/>
  <c r="I5" i="2"/>
  <c r="J5" i="2"/>
  <c r="K5" i="2"/>
  <c r="L5" i="2"/>
  <c r="M5" i="2"/>
  <c r="N5" i="2"/>
  <c r="O5" i="2"/>
  <c r="P5" i="2" s="1"/>
  <c r="Q5" i="2" s="1"/>
  <c r="G5" i="2"/>
  <c r="Q2" i="2"/>
  <c r="Q3" i="2"/>
  <c r="Q7" i="2"/>
  <c r="Q8" i="2"/>
  <c r="Q22" i="2"/>
  <c r="G3" i="2"/>
  <c r="G22" i="2" s="1"/>
  <c r="F22" i="2"/>
  <c r="E22" i="2"/>
  <c r="D22" i="2"/>
  <c r="G2" i="2"/>
  <c r="H2" i="2" s="1"/>
  <c r="I2" i="2" s="1"/>
  <c r="J2" i="2" s="1"/>
  <c r="K2" i="2" s="1"/>
  <c r="L2" i="2" s="1"/>
  <c r="M2" i="2" s="1"/>
  <c r="N2" i="2" s="1"/>
  <c r="O2" i="2" s="1"/>
  <c r="P2" i="2" s="1"/>
  <c r="F9" i="4"/>
  <c r="E9" i="4"/>
  <c r="D9" i="4"/>
  <c r="C9" i="4"/>
  <c r="F3" i="4"/>
  <c r="F14" i="4" s="1"/>
  <c r="E3" i="4"/>
  <c r="E14" i="4" s="1"/>
  <c r="D3" i="4"/>
  <c r="D14" i="4" s="1"/>
  <c r="C3" i="4"/>
  <c r="C14" i="4" s="1"/>
  <c r="F12" i="3"/>
  <c r="E12" i="3"/>
  <c r="D12" i="3"/>
  <c r="C12" i="3"/>
  <c r="F6" i="3"/>
  <c r="F9" i="3" s="1"/>
  <c r="E6" i="3"/>
  <c r="E9" i="3" s="1"/>
  <c r="D6" i="3"/>
  <c r="D9" i="3" s="1"/>
  <c r="C6" i="3"/>
  <c r="C9" i="3" s="1"/>
  <c r="F9" i="2"/>
  <c r="E9" i="2"/>
  <c r="D9" i="2"/>
  <c r="C9" i="2"/>
  <c r="F5" i="2"/>
  <c r="F23" i="2" s="1"/>
  <c r="E5" i="2"/>
  <c r="E23" i="2" s="1"/>
  <c r="D5" i="2"/>
  <c r="D23" i="2" s="1"/>
  <c r="C5" i="2"/>
  <c r="C23" i="2" s="1"/>
  <c r="J5" i="1"/>
  <c r="J8" i="1" s="1"/>
  <c r="H3" i="2" l="1"/>
  <c r="I3" i="2" s="1"/>
  <c r="J3" i="2" s="1"/>
  <c r="K3" i="2" s="1"/>
  <c r="L3" i="2" s="1"/>
  <c r="M3" i="2" s="1"/>
  <c r="N3" i="2" s="1"/>
  <c r="O3" i="2" s="1"/>
  <c r="P3" i="2" s="1"/>
  <c r="G7" i="2"/>
  <c r="G8" i="2"/>
  <c r="C10" i="2"/>
  <c r="D10" i="2"/>
  <c r="E10" i="2"/>
  <c r="F10" i="2"/>
  <c r="H22" i="2" l="1"/>
  <c r="H8" i="2"/>
  <c r="H7" i="2"/>
  <c r="G9" i="2"/>
  <c r="G10" i="2"/>
  <c r="G23" i="2"/>
  <c r="F13" i="2"/>
  <c r="F16" i="2" s="1"/>
  <c r="F18" i="2" s="1"/>
  <c r="F25" i="2" s="1"/>
  <c r="F24" i="2"/>
  <c r="E13" i="2"/>
  <c r="E16" i="2" s="1"/>
  <c r="E18" i="2" s="1"/>
  <c r="E25" i="2" s="1"/>
  <c r="E24" i="2"/>
  <c r="D13" i="2"/>
  <c r="D16" i="2" s="1"/>
  <c r="D18" i="2" s="1"/>
  <c r="D25" i="2" s="1"/>
  <c r="D24" i="2"/>
  <c r="C13" i="2"/>
  <c r="C16" i="2" s="1"/>
  <c r="C18" i="2" s="1"/>
  <c r="C25" i="2" s="1"/>
  <c r="C24" i="2"/>
  <c r="J9" i="1"/>
  <c r="G24" i="2" l="1"/>
  <c r="G13" i="2"/>
  <c r="I22" i="2"/>
  <c r="I8" i="2"/>
  <c r="I7" i="2"/>
  <c r="H23" i="2"/>
  <c r="H9" i="2"/>
  <c r="H10" i="2" s="1"/>
  <c r="H13" i="2" l="1"/>
  <c r="H24" i="2"/>
  <c r="J7" i="2"/>
  <c r="J22" i="2"/>
  <c r="J8" i="2"/>
  <c r="I23" i="2"/>
  <c r="I9" i="2"/>
  <c r="I10" i="2" s="1"/>
  <c r="G14" i="2"/>
  <c r="G16" i="2" s="1"/>
  <c r="G18" i="2" s="1"/>
  <c r="G25" i="2" l="1"/>
  <c r="I13" i="2"/>
  <c r="I24" i="2"/>
  <c r="K8" i="2"/>
  <c r="K7" i="2"/>
  <c r="K22" i="2"/>
  <c r="K23" i="2"/>
  <c r="J23" i="2"/>
  <c r="J9" i="2"/>
  <c r="J10" i="2" s="1"/>
  <c r="H14" i="2"/>
  <c r="H16" i="2"/>
  <c r="H18" i="2" s="1"/>
  <c r="H25" i="2" s="1"/>
  <c r="J13" i="2" l="1"/>
  <c r="J24" i="2"/>
  <c r="L23" i="2"/>
  <c r="L8" i="2"/>
  <c r="M8" i="2" s="1"/>
  <c r="L7" i="2"/>
  <c r="L22" i="2"/>
  <c r="I14" i="2"/>
  <c r="I16" i="2" s="1"/>
  <c r="I18" i="2" s="1"/>
  <c r="I25" i="2" s="1"/>
  <c r="K9" i="2"/>
  <c r="K10" i="2" s="1"/>
  <c r="L9" i="2" l="1"/>
  <c r="L10" i="2" s="1"/>
  <c r="K24" i="2"/>
  <c r="K13" i="2"/>
  <c r="M23" i="2"/>
  <c r="M22" i="2"/>
  <c r="M7" i="2"/>
  <c r="N7" i="2" s="1"/>
  <c r="J14" i="2"/>
  <c r="J16" i="2" s="1"/>
  <c r="J18" i="2" s="1"/>
  <c r="N22" i="2" l="1"/>
  <c r="N8" i="2"/>
  <c r="M9" i="2"/>
  <c r="M10" i="2" s="1"/>
  <c r="K14" i="2"/>
  <c r="K16" i="2"/>
  <c r="K18" i="2" s="1"/>
  <c r="K25" i="2" s="1"/>
  <c r="J25" i="2"/>
  <c r="L24" i="2"/>
  <c r="L13" i="2"/>
  <c r="L14" i="2" s="1"/>
  <c r="L16" i="2" s="1"/>
  <c r="L18" i="2" s="1"/>
  <c r="L25" i="2" s="1"/>
  <c r="M24" i="2" l="1"/>
  <c r="M13" i="2"/>
  <c r="N9" i="2"/>
  <c r="N23" i="2"/>
  <c r="N10" i="2"/>
  <c r="O7" i="2"/>
  <c r="O22" i="2"/>
  <c r="O8" i="2"/>
  <c r="N13" i="2" l="1"/>
  <c r="N14" i="2" s="1"/>
  <c r="N16" i="2" s="1"/>
  <c r="N18" i="2" s="1"/>
  <c r="N25" i="2" s="1"/>
  <c r="N24" i="2"/>
  <c r="O9" i="2"/>
  <c r="O23" i="2"/>
  <c r="O10" i="2"/>
  <c r="M14" i="2"/>
  <c r="M16" i="2"/>
  <c r="M18" i="2" s="1"/>
  <c r="Q9" i="2"/>
  <c r="P7" i="2"/>
  <c r="P22" i="2"/>
  <c r="P8" i="2"/>
  <c r="Q10" i="2" l="1"/>
  <c r="Q23" i="2"/>
  <c r="O24" i="2"/>
  <c r="O13" i="2"/>
  <c r="P23" i="2"/>
  <c r="M25" i="2"/>
  <c r="P9" i="2"/>
  <c r="P10" i="2" s="1"/>
  <c r="Q13" i="2" l="1"/>
  <c r="Q24" i="2"/>
  <c r="P13" i="2"/>
  <c r="P24" i="2"/>
  <c r="O14" i="2"/>
  <c r="O16" i="2" s="1"/>
  <c r="O18" i="2" s="1"/>
  <c r="O25" i="2" s="1"/>
  <c r="Q14" i="2" l="1"/>
  <c r="Q16" i="2"/>
  <c r="Q18" i="2" s="1"/>
  <c r="P14" i="2"/>
  <c r="P16" i="2"/>
  <c r="P18" i="2" s="1"/>
  <c r="Q25" i="2" l="1"/>
  <c r="R18" i="2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P25" i="2"/>
  <c r="T24" i="2"/>
  <c r="T25" i="2" s="1"/>
  <c r="T26" i="2" s="1"/>
</calcChain>
</file>

<file path=xl/sharedStrings.xml><?xml version="1.0" encoding="utf-8"?>
<sst xmlns="http://schemas.openxmlformats.org/spreadsheetml/2006/main" count="72" uniqueCount="69">
  <si>
    <t>USD (in millions)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</si>
  <si>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</si>
  <si>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</si>
  <si>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</si>
  <si>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</si>
  <si>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</si>
  <si>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</si>
  <si>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</si>
  <si>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</si>
  <si>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</si>
  <si>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</si>
  <si>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</si>
  <si>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</si>
  <si>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</si>
  <si>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</si>
  <si>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</si>
  <si>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</si>
  <si>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AvgShares</t>
  </si>
  <si>
    <t>RevGrowth</t>
  </si>
  <si>
    <t>GrossMargin</t>
  </si>
  <si>
    <t>OpMargin</t>
  </si>
  <si>
    <t>NetMargin</t>
  </si>
  <si>
    <t>D&amp;A</t>
  </si>
  <si>
    <t>Non-Cash Adj</t>
  </si>
  <si>
    <t>CFFO</t>
  </si>
  <si>
    <t>CFFI</t>
  </si>
  <si>
    <t>CFFF</t>
  </si>
  <si>
    <t>Changes In Cash</t>
  </si>
  <si>
    <t>OCF</t>
  </si>
  <si>
    <t>CapEx</t>
  </si>
  <si>
    <t>FCF</t>
  </si>
  <si>
    <t>CFGrowth</t>
  </si>
  <si>
    <t>CXChange</t>
  </si>
  <si>
    <t>FCFGrowth</t>
  </si>
  <si>
    <t>FCFMargin</t>
  </si>
  <si>
    <t>Total Assets</t>
  </si>
  <si>
    <t>Current Assets</t>
  </si>
  <si>
    <t>Cash &amp; Short Inv</t>
  </si>
  <si>
    <t>Inventory</t>
  </si>
  <si>
    <t>Non-Current Assets</t>
  </si>
  <si>
    <t>PPE</t>
  </si>
  <si>
    <t>Total Liabilities</t>
  </si>
  <si>
    <t>Current Liabilities</t>
  </si>
  <si>
    <t>Short Term Debt</t>
  </si>
  <si>
    <t>Non-Current Liabilities</t>
  </si>
  <si>
    <t>Long Term Debt</t>
  </si>
  <si>
    <t>Total Equity</t>
  </si>
  <si>
    <t>Common Equity</t>
  </si>
  <si>
    <t>Retained Earnings</t>
  </si>
  <si>
    <t>Net Debt</t>
  </si>
  <si>
    <t>Tangible Assets</t>
  </si>
  <si>
    <t>CapitalEmployed</t>
  </si>
  <si>
    <t>Invested Capital</t>
  </si>
  <si>
    <t>NCAV</t>
  </si>
  <si>
    <t>Shares</t>
  </si>
  <si>
    <t>D_E</t>
  </si>
  <si>
    <t>AssetsGrowth</t>
  </si>
  <si>
    <t>TAGrowth</t>
  </si>
  <si>
    <t>EquityGrowth</t>
  </si>
  <si>
    <t>ICGrowth</t>
  </si>
  <si>
    <t>Price</t>
  </si>
  <si>
    <t>MC</t>
  </si>
  <si>
    <t>Cash</t>
  </si>
  <si>
    <t>Debt</t>
  </si>
  <si>
    <t>EV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</si>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</sst>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0" fillId="2" borderId="0" xfId="0" applyNumberFormat="1" applyFill="1"/>
    <xf numFmtId="3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9"/>
  <sheetViews>
    <sheetView workbookViewId="0">
      <selection activeCell="J9" sqref="J9"/>
    </sheetView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60</v>
      </c>
      <c r="J3" s="2">
        <v>74.290000000000006</v>
      </c>
    </row>
    <row r="4" spans="2:10" x14ac:dyDescent="0.45">
      <c r="I4" s="1" t="s">
        <v>54</v>
      </c>
      <c r="J4" s="3">
        <v>2085.418550652847</v>
      </c>
    </row>
    <row r="5" spans="2:10" x14ac:dyDescent="0.45">
      <c r="I5" s="1" t="s">
        <v>61</v>
      </c>
      <c r="J5" s="3">
        <f>J3*J4</f>
        <v>154925.74412800002</v>
      </c>
    </row>
    <row r="6" spans="2:10" x14ac:dyDescent="0.45">
      <c r="I6" s="1" t="s">
        <v>62</v>
      </c>
      <c r="J6" s="3">
        <v>6977</v>
      </c>
    </row>
    <row r="7" spans="2:10" x14ac:dyDescent="0.45">
      <c r="I7" s="1" t="s">
        <v>63</v>
      </c>
      <c r="J7" s="3">
        <v>11126</v>
      </c>
    </row>
    <row r="8" spans="2:10" x14ac:dyDescent="0.45">
      <c r="I8" s="1" t="s">
        <v>64</v>
      </c>
      <c r="J8" s="3">
        <f>J5+J7-J6</f>
        <v>159074.74412800002</v>
      </c>
    </row>
    <row r="9" spans="2:10" x14ac:dyDescent="0.45">
      <c r="J9" s="4">
        <f>J8/'Income Statement'!E10</f>
        <v>143.31058029549553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X26"/>
  <sheetViews>
    <sheetView tabSelected="1" topLeftCell="B3" workbookViewId="0">
      <selection activeCell="G6" sqref="G6:Q6"/>
    </sheetView>
  </sheetViews>
  <sheetFormatPr defaultRowHeight="14.25" x14ac:dyDescent="0.45"/>
  <cols>
    <col min="2" max="2" width="20.73046875" customWidth="1"/>
  </cols>
  <sheetData>
    <row r="2" spans="2:17" x14ac:dyDescent="0.45">
      <c r="C2" s="5">
        <v>2021</v>
      </c>
      <c r="D2" s="5">
        <v>2022</v>
      </c>
      <c r="E2" s="5">
        <v>2023</v>
      </c>
      <c r="F2" s="5">
        <v>2024</v>
      </c>
      <c r="G2" s="7">
        <f>F2+1</f>
        <v>2025</v>
      </c>
      <c r="H2" s="7">
        <f t="shared" ref="H2:O2" si="0">G2+1</f>
        <v>2026</v>
      </c>
      <c r="I2" s="7">
        <f t="shared" si="0"/>
        <v>2027</v>
      </c>
      <c r="J2" s="7">
        <f t="shared" si="0"/>
        <v>2028</v>
      </c>
      <c r="K2" s="7">
        <f t="shared" si="0"/>
        <v>2029</v>
      </c>
      <c r="L2" s="7">
        <f t="shared" si="0"/>
        <v>2030</v>
      </c>
      <c r="M2" s="7">
        <f t="shared" si="0"/>
        <v>2031</v>
      </c>
      <c r="N2" s="7">
        <f t="shared" si="0"/>
        <v>2032</v>
      </c>
      <c r="O2" s="7">
        <f t="shared" si="0"/>
        <v>2033</v>
      </c>
      <c r="P2" s="7">
        <f>O2+1</f>
        <v>2034</v>
      </c>
      <c r="Q2" s="7">
        <f>P2+1</f>
        <v>2035</v>
      </c>
    </row>
    <row r="3" spans="2:17" x14ac:dyDescent="0.45">
      <c r="B3" s="1" t="s">
        <v>1</v>
      </c>
      <c r="C3" s="3">
        <v>17455</v>
      </c>
      <c r="D3" s="3">
        <v>31877</v>
      </c>
      <c r="E3" s="3">
        <v>37281</v>
      </c>
      <c r="F3" s="3">
        <v>43978</v>
      </c>
      <c r="G3" s="8">
        <f>F3*1.1</f>
        <v>48375.8</v>
      </c>
      <c r="H3" s="8">
        <f t="shared" ref="H3:O3" si="1">G3*1.1</f>
        <v>53213.380000000005</v>
      </c>
      <c r="I3" s="8">
        <f t="shared" si="1"/>
        <v>58534.718000000008</v>
      </c>
      <c r="J3" s="8">
        <f t="shared" si="1"/>
        <v>64388.189800000015</v>
      </c>
      <c r="K3" s="8">
        <f t="shared" si="1"/>
        <v>70827.008780000018</v>
      </c>
      <c r="L3" s="8">
        <f t="shared" si="1"/>
        <v>77909.709658000022</v>
      </c>
      <c r="M3" s="8">
        <f t="shared" si="1"/>
        <v>85700.680623800028</v>
      </c>
      <c r="N3" s="8">
        <f t="shared" si="1"/>
        <v>94270.748686180043</v>
      </c>
      <c r="O3" s="8">
        <f t="shared" si="1"/>
        <v>103697.82355479806</v>
      </c>
      <c r="P3" s="8">
        <f>O3*1.1</f>
        <v>114067.60591027787</v>
      </c>
      <c r="Q3" s="8">
        <f>P3*1.1</f>
        <v>125474.36650130566</v>
      </c>
    </row>
    <row r="4" spans="2:17" x14ac:dyDescent="0.45">
      <c r="B4" s="1" t="s">
        <v>2</v>
      </c>
      <c r="C4" s="3">
        <v>-9351</v>
      </c>
      <c r="D4" s="3">
        <v>-19659</v>
      </c>
      <c r="E4" s="3">
        <v>-22457</v>
      </c>
      <c r="F4" s="3">
        <v>-26651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2:17" x14ac:dyDescent="0.45">
      <c r="B5" s="1" t="s">
        <v>3</v>
      </c>
      <c r="C5" s="3">
        <f>C3+C4</f>
        <v>8104</v>
      </c>
      <c r="D5" s="3">
        <f>D3+D4</f>
        <v>12218</v>
      </c>
      <c r="E5" s="3">
        <f>E3+E4</f>
        <v>14824</v>
      </c>
      <c r="F5" s="3">
        <f>F3+F4</f>
        <v>17327</v>
      </c>
      <c r="G5" s="8">
        <f>G3*(F5/F3+0.01)</f>
        <v>19543.457999999999</v>
      </c>
      <c r="H5" s="8">
        <f t="shared" ref="H5:Q5" si="2">H3*(G5/G3+0.01)</f>
        <v>22029.937599999997</v>
      </c>
      <c r="I5" s="8">
        <f t="shared" si="2"/>
        <v>24818.278539999999</v>
      </c>
      <c r="J5" s="8">
        <f t="shared" si="2"/>
        <v>27943.988292000002</v>
      </c>
      <c r="K5" s="8">
        <f t="shared" si="2"/>
        <v>31446.657209000005</v>
      </c>
      <c r="L5" s="8">
        <f t="shared" si="2"/>
        <v>35370.420026480009</v>
      </c>
      <c r="M5" s="8">
        <f t="shared" si="2"/>
        <v>39764.468835366009</v>
      </c>
      <c r="N5" s="8">
        <f t="shared" si="2"/>
        <v>44683.623205764423</v>
      </c>
      <c r="O5" s="8">
        <f t="shared" si="2"/>
        <v>50188.963761888852</v>
      </c>
      <c r="P5" s="8">
        <f t="shared" si="2"/>
        <v>56348.536197180518</v>
      </c>
      <c r="Q5" s="8">
        <f t="shared" si="2"/>
        <v>63238.133481911624</v>
      </c>
    </row>
    <row r="6" spans="2:17" x14ac:dyDescent="0.45">
      <c r="B6" s="1" t="s">
        <v>4</v>
      </c>
      <c r="C6" s="3">
        <v>-7105</v>
      </c>
      <c r="D6" s="3">
        <v>-7892</v>
      </c>
      <c r="E6" s="3">
        <v>-7038</v>
      </c>
      <c r="F6" s="3">
        <v>-7976</v>
      </c>
      <c r="G6" s="3">
        <f>G3*(F6/F3+0.015)</f>
        <v>-8047.9629999999988</v>
      </c>
      <c r="H6" s="3">
        <f t="shared" ref="H6:Q6" si="3">H3*(G6/G3+0.015)</f>
        <v>-8054.5585999999985</v>
      </c>
      <c r="I6" s="3">
        <f t="shared" si="3"/>
        <v>-7981.9936899999984</v>
      </c>
      <c r="J6" s="3">
        <f t="shared" si="3"/>
        <v>-7814.370211999998</v>
      </c>
      <c r="K6" s="3">
        <f t="shared" si="3"/>
        <v>-7533.402101499998</v>
      </c>
      <c r="L6" s="3">
        <f t="shared" si="3"/>
        <v>-7118.0966667799976</v>
      </c>
      <c r="M6" s="3">
        <f t="shared" si="3"/>
        <v>-6544.3961241009974</v>
      </c>
      <c r="N6" s="3">
        <f t="shared" si="3"/>
        <v>-5784.7745062183976</v>
      </c>
      <c r="O6" s="3">
        <f t="shared" si="3"/>
        <v>-4807.7846035182674</v>
      </c>
      <c r="P6" s="3">
        <f t="shared" si="3"/>
        <v>-3577.5489752159265</v>
      </c>
      <c r="Q6" s="3">
        <f t="shared" si="3"/>
        <v>-2053.1883752179347</v>
      </c>
    </row>
    <row r="7" spans="2:17" x14ac:dyDescent="0.45">
      <c r="B7" s="1" t="s">
        <v>5</v>
      </c>
      <c r="C7" s="3">
        <v>-2054</v>
      </c>
      <c r="D7" s="3">
        <v>-2798</v>
      </c>
      <c r="E7" s="3">
        <v>-3164</v>
      </c>
      <c r="F7" s="3">
        <v>-3109</v>
      </c>
      <c r="G7" s="3">
        <f>G3*(F7/F3)</f>
        <v>-3419.9</v>
      </c>
      <c r="H7" s="3">
        <f t="shared" ref="H7:O7" si="4">H3*(G7/G3)</f>
        <v>-3761.8900000000003</v>
      </c>
      <c r="I7" s="3">
        <f t="shared" si="4"/>
        <v>-4138.0790000000006</v>
      </c>
      <c r="J7" s="3">
        <f t="shared" si="4"/>
        <v>-4551.8869000000013</v>
      </c>
      <c r="K7" s="3">
        <f t="shared" si="4"/>
        <v>-5007.0755900000013</v>
      </c>
      <c r="L7" s="3">
        <f t="shared" si="4"/>
        <v>-5507.7831490000017</v>
      </c>
      <c r="M7" s="3">
        <f t="shared" si="4"/>
        <v>-6058.5614639000014</v>
      </c>
      <c r="N7" s="3">
        <f t="shared" si="4"/>
        <v>-6664.4176102900028</v>
      </c>
      <c r="O7" s="3">
        <f t="shared" si="4"/>
        <v>-7330.8593713190039</v>
      </c>
      <c r="P7" s="3">
        <f>P3*(O7/O3)</f>
        <v>-8063.9453084509041</v>
      </c>
      <c r="Q7" s="3">
        <f>Q3*(P7/P3)</f>
        <v>-8870.3398392959953</v>
      </c>
    </row>
    <row r="8" spans="2:17" x14ac:dyDescent="0.45">
      <c r="B8" s="1" t="s">
        <v>6</v>
      </c>
      <c r="C8" s="3">
        <v>-2779</v>
      </c>
      <c r="D8" s="3">
        <v>-3360</v>
      </c>
      <c r="E8" s="3">
        <v>-3512</v>
      </c>
      <c r="F8" s="3">
        <v>-3443</v>
      </c>
      <c r="G8" s="8">
        <f>G3*(F8/F3+0.005)</f>
        <v>-3545.4209999999998</v>
      </c>
      <c r="H8" s="8">
        <f t="shared" ref="H8:O8" si="5">H3*(G8/G3+0.005)</f>
        <v>-3633.8961999999997</v>
      </c>
      <c r="I8" s="8">
        <f t="shared" si="5"/>
        <v>-3704.6122299999997</v>
      </c>
      <c r="J8" s="8">
        <f t="shared" si="5"/>
        <v>-3753.1325040000002</v>
      </c>
      <c r="K8" s="8">
        <f t="shared" si="5"/>
        <v>-3774.3107105000004</v>
      </c>
      <c r="L8" s="8">
        <f t="shared" si="5"/>
        <v>-3762.1932332600004</v>
      </c>
      <c r="M8" s="8">
        <f t="shared" si="5"/>
        <v>-3709.9091534670006</v>
      </c>
      <c r="N8" s="8">
        <f t="shared" si="5"/>
        <v>-3609.5463253828011</v>
      </c>
      <c r="O8" s="8">
        <f t="shared" si="5"/>
        <v>-3452.0118401470918</v>
      </c>
      <c r="P8" s="8">
        <f>P3*(O8/O3+0.005)</f>
        <v>-3226.8749946104117</v>
      </c>
      <c r="Q8" s="8">
        <f>Q3*(P8/P3+0.005)</f>
        <v>-2922.1906615649245</v>
      </c>
    </row>
    <row r="9" spans="2:17" x14ac:dyDescent="0.45">
      <c r="B9" s="1" t="s">
        <v>7</v>
      </c>
      <c r="C9" s="3">
        <f>C6+C7+C8</f>
        <v>-11938</v>
      </c>
      <c r="D9" s="3">
        <f>D6+D7+D8</f>
        <v>-14050</v>
      </c>
      <c r="E9" s="3">
        <f>E6+E7+E8</f>
        <v>-13714</v>
      </c>
      <c r="F9" s="3">
        <f>F6+F7+F8</f>
        <v>-14528</v>
      </c>
      <c r="G9" s="3">
        <f>G6+G7+G8</f>
        <v>-15013.284</v>
      </c>
      <c r="H9" s="3">
        <f t="shared" ref="H9:Q9" si="6">H6+H7+H8</f>
        <v>-15450.344799999999</v>
      </c>
      <c r="I9" s="3">
        <f t="shared" si="6"/>
        <v>-15824.68492</v>
      </c>
      <c r="J9" s="3">
        <f t="shared" si="6"/>
        <v>-16119.389616</v>
      </c>
      <c r="K9" s="3">
        <f t="shared" si="6"/>
        <v>-16314.788402</v>
      </c>
      <c r="L9" s="3">
        <f t="shared" si="6"/>
        <v>-16388.073049039998</v>
      </c>
      <c r="M9" s="3">
        <f t="shared" si="6"/>
        <v>-16312.866741467999</v>
      </c>
      <c r="N9" s="3">
        <f t="shared" si="6"/>
        <v>-16058.738441891201</v>
      </c>
      <c r="O9" s="3">
        <f t="shared" si="6"/>
        <v>-15590.655814984364</v>
      </c>
      <c r="P9" s="3">
        <f t="shared" si="6"/>
        <v>-14868.369278277241</v>
      </c>
      <c r="Q9" s="3">
        <f t="shared" si="6"/>
        <v>-13845.718876078854</v>
      </c>
    </row>
    <row r="10" spans="2:17" x14ac:dyDescent="0.45">
      <c r="B10" s="1" t="s">
        <v>8</v>
      </c>
      <c r="C10" s="3">
        <f>C5+C9</f>
        <v>-3834</v>
      </c>
      <c r="D10" s="3">
        <f>D5+D9</f>
        <v>-1832</v>
      </c>
      <c r="E10" s="3">
        <f>E5+E9</f>
        <v>1110</v>
      </c>
      <c r="F10" s="3">
        <f>F5+F9</f>
        <v>2799</v>
      </c>
      <c r="G10" s="3">
        <f>G5+G9</f>
        <v>4530.1739999999991</v>
      </c>
      <c r="H10" s="3">
        <f t="shared" ref="H10:Q10" si="7">H5+H9</f>
        <v>6579.5927999999985</v>
      </c>
      <c r="I10" s="3">
        <f t="shared" si="7"/>
        <v>8993.5936199999996</v>
      </c>
      <c r="J10" s="3">
        <f t="shared" si="7"/>
        <v>11824.598676000001</v>
      </c>
      <c r="K10" s="3">
        <f t="shared" si="7"/>
        <v>15131.868807000004</v>
      </c>
      <c r="L10" s="3">
        <f t="shared" si="7"/>
        <v>18982.346977440011</v>
      </c>
      <c r="M10" s="3">
        <f t="shared" si="7"/>
        <v>23451.602093898011</v>
      </c>
      <c r="N10" s="3">
        <f t="shared" si="7"/>
        <v>28624.884763873222</v>
      </c>
      <c r="O10" s="3">
        <f t="shared" si="7"/>
        <v>34598.30794690449</v>
      </c>
      <c r="P10" s="3">
        <f t="shared" si="7"/>
        <v>41480.166918903276</v>
      </c>
      <c r="Q10" s="3">
        <f t="shared" si="7"/>
        <v>49392.414605832768</v>
      </c>
    </row>
    <row r="11" spans="2:17" x14ac:dyDescent="0.45">
      <c r="B11" s="1" t="s">
        <v>9</v>
      </c>
      <c r="C11" s="3">
        <v>-446</v>
      </c>
      <c r="D11" s="3">
        <v>-426</v>
      </c>
      <c r="E11" s="3">
        <v>-149</v>
      </c>
      <c r="F11" s="3">
        <v>198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</row>
    <row r="12" spans="2:17" x14ac:dyDescent="0.45">
      <c r="B12" s="1" t="s">
        <v>10</v>
      </c>
      <c r="C12" s="3">
        <v>3255</v>
      </c>
      <c r="D12" s="3">
        <v>-7168</v>
      </c>
      <c r="E12" s="3">
        <v>1360</v>
      </c>
      <c r="F12" s="3">
        <v>1128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</row>
    <row r="13" spans="2:17" x14ac:dyDescent="0.45">
      <c r="B13" s="1" t="s">
        <v>11</v>
      </c>
      <c r="C13" s="3">
        <f>C10+C11+C12</f>
        <v>-1025</v>
      </c>
      <c r="D13" s="3">
        <f>D10+D11+D12</f>
        <v>-9426</v>
      </c>
      <c r="E13" s="3">
        <f>E10+E11+E12</f>
        <v>2321</v>
      </c>
      <c r="F13" s="3">
        <f>F10+F11+F12</f>
        <v>4125</v>
      </c>
      <c r="G13" s="3">
        <f>G10+G11+G12</f>
        <v>4530.1739999999991</v>
      </c>
      <c r="H13" s="3">
        <f t="shared" ref="H13:Q13" si="8">H10+H11+H12</f>
        <v>6579.5927999999985</v>
      </c>
      <c r="I13" s="3">
        <f t="shared" si="8"/>
        <v>8993.5936199999996</v>
      </c>
      <c r="J13" s="3">
        <f t="shared" si="8"/>
        <v>11824.598676000001</v>
      </c>
      <c r="K13" s="3">
        <f t="shared" si="8"/>
        <v>15131.868807000004</v>
      </c>
      <c r="L13" s="3">
        <f t="shared" si="8"/>
        <v>18982.346977440011</v>
      </c>
      <c r="M13" s="3">
        <f t="shared" si="8"/>
        <v>23451.602093898011</v>
      </c>
      <c r="N13" s="3">
        <f t="shared" si="8"/>
        <v>28624.884763873222</v>
      </c>
      <c r="O13" s="3">
        <f t="shared" si="8"/>
        <v>34598.30794690449</v>
      </c>
      <c r="P13" s="3">
        <f t="shared" si="8"/>
        <v>41480.166918903276</v>
      </c>
      <c r="Q13" s="3">
        <f t="shared" si="8"/>
        <v>49392.414605832768</v>
      </c>
    </row>
    <row r="14" spans="2:17" x14ac:dyDescent="0.45">
      <c r="B14" s="1" t="s">
        <v>12</v>
      </c>
      <c r="C14" s="3">
        <v>492</v>
      </c>
      <c r="D14" s="3">
        <v>181</v>
      </c>
      <c r="E14" s="3">
        <v>-213</v>
      </c>
      <c r="F14" s="3">
        <v>5758</v>
      </c>
      <c r="G14" s="8">
        <f>G13*-0.25</f>
        <v>-1132.5434999999998</v>
      </c>
      <c r="H14" s="8">
        <f t="shared" ref="H14:Q14" si="9">H13*-0.25</f>
        <v>-1644.8981999999996</v>
      </c>
      <c r="I14" s="8">
        <f t="shared" si="9"/>
        <v>-2248.3984049999999</v>
      </c>
      <c r="J14" s="8">
        <f t="shared" si="9"/>
        <v>-2956.1496690000004</v>
      </c>
      <c r="K14" s="8">
        <f t="shared" si="9"/>
        <v>-3782.9672017500011</v>
      </c>
      <c r="L14" s="8">
        <f t="shared" si="9"/>
        <v>-4745.5867443600027</v>
      </c>
      <c r="M14" s="8">
        <f t="shared" si="9"/>
        <v>-5862.9005234745027</v>
      </c>
      <c r="N14" s="8">
        <f t="shared" si="9"/>
        <v>-7156.2211909683056</v>
      </c>
      <c r="O14" s="8">
        <f t="shared" si="9"/>
        <v>-8649.5769867261224</v>
      </c>
      <c r="P14" s="8">
        <f t="shared" si="9"/>
        <v>-10370.041729725819</v>
      </c>
      <c r="Q14" s="8">
        <f t="shared" si="9"/>
        <v>-12348.103651458192</v>
      </c>
    </row>
    <row r="15" spans="2:17" x14ac:dyDescent="0.45">
      <c r="B15" s="1" t="s">
        <v>13</v>
      </c>
      <c r="C15" s="3">
        <v>37</v>
      </c>
      <c r="D15" s="3">
        <v>104</v>
      </c>
      <c r="E15" s="3">
        <v>-221</v>
      </c>
      <c r="F15" s="3">
        <v>-27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2:17" x14ac:dyDescent="0.45">
      <c r="B16" s="1" t="s">
        <v>14</v>
      </c>
      <c r="C16" s="3">
        <f>C13+C14+C15</f>
        <v>-496</v>
      </c>
      <c r="D16" s="3">
        <f>D13+D14+D15</f>
        <v>-9141</v>
      </c>
      <c r="E16" s="3">
        <f>E13+E14+E15</f>
        <v>1887</v>
      </c>
      <c r="F16" s="3">
        <f>F13+F14+F15</f>
        <v>9856</v>
      </c>
      <c r="G16" s="3">
        <f>G13+G14+G15</f>
        <v>3397.6304999999993</v>
      </c>
      <c r="H16" s="3">
        <f t="shared" ref="H16:Q16" si="10">H13+H14+H15</f>
        <v>4934.6945999999989</v>
      </c>
      <c r="I16" s="3">
        <f t="shared" si="10"/>
        <v>6745.1952149999997</v>
      </c>
      <c r="J16" s="3">
        <f t="shared" si="10"/>
        <v>8868.4490070000011</v>
      </c>
      <c r="K16" s="3">
        <f t="shared" si="10"/>
        <v>11348.901605250003</v>
      </c>
      <c r="L16" s="3">
        <f t="shared" si="10"/>
        <v>14236.760233080007</v>
      </c>
      <c r="M16" s="3">
        <f t="shared" si="10"/>
        <v>17588.701570423509</v>
      </c>
      <c r="N16" s="3">
        <f t="shared" si="10"/>
        <v>21468.663572904916</v>
      </c>
      <c r="O16" s="3">
        <f t="shared" si="10"/>
        <v>25948.730960178367</v>
      </c>
      <c r="P16" s="3">
        <f t="shared" si="10"/>
        <v>31110.125189177459</v>
      </c>
      <c r="Q16" s="3">
        <f t="shared" si="10"/>
        <v>37044.310954374574</v>
      </c>
    </row>
    <row r="17" spans="2:206" x14ac:dyDescent="0.45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2:206" x14ac:dyDescent="0.45">
      <c r="B18" s="1" t="s">
        <v>16</v>
      </c>
      <c r="C18" s="3">
        <f>C16+C17</f>
        <v>-496</v>
      </c>
      <c r="D18" s="3">
        <f>D16+D17</f>
        <v>-9141</v>
      </c>
      <c r="E18" s="3">
        <f>E16+E17</f>
        <v>1887</v>
      </c>
      <c r="F18" s="3">
        <f>F16+F17</f>
        <v>9856</v>
      </c>
      <c r="G18" s="3">
        <f>G16+G17</f>
        <v>3397.6304999999993</v>
      </c>
      <c r="H18" s="3">
        <f t="shared" ref="H18:Q18" si="11">H16+H17</f>
        <v>4934.6945999999989</v>
      </c>
      <c r="I18" s="3">
        <f t="shared" si="11"/>
        <v>6745.1952149999997</v>
      </c>
      <c r="J18" s="3">
        <f t="shared" si="11"/>
        <v>8868.4490070000011</v>
      </c>
      <c r="K18" s="3">
        <f t="shared" si="11"/>
        <v>11348.901605250003</v>
      </c>
      <c r="L18" s="3">
        <f t="shared" si="11"/>
        <v>14236.760233080007</v>
      </c>
      <c r="M18" s="3">
        <f t="shared" si="11"/>
        <v>17588.701570423509</v>
      </c>
      <c r="N18" s="3">
        <f t="shared" si="11"/>
        <v>21468.663572904916</v>
      </c>
      <c r="O18" s="3">
        <f t="shared" si="11"/>
        <v>25948.730960178367</v>
      </c>
      <c r="P18" s="3">
        <f t="shared" si="11"/>
        <v>31110.125189177459</v>
      </c>
      <c r="Q18" s="3">
        <f t="shared" si="11"/>
        <v>37044.310954374574</v>
      </c>
      <c r="R18" s="3">
        <f>Q18*(1+$T$22)</f>
        <v>37414.754063918321</v>
      </c>
      <c r="S18" s="3">
        <f t="shared" ref="S18:CD18" si="12">R18*(1+$T$22)</f>
        <v>37788.901604557504</v>
      </c>
      <c r="T18" s="3">
        <f t="shared" si="12"/>
        <v>38166.790620603082</v>
      </c>
      <c r="U18" s="3">
        <f t="shared" si="12"/>
        <v>38548.45852680911</v>
      </c>
      <c r="V18" s="3">
        <f t="shared" si="12"/>
        <v>38933.943112077199</v>
      </c>
      <c r="W18" s="3">
        <f t="shared" si="12"/>
        <v>39323.282543197973</v>
      </c>
      <c r="X18" s="3">
        <f t="shared" si="12"/>
        <v>39716.515368629953</v>
      </c>
      <c r="Y18" s="3">
        <f t="shared" si="12"/>
        <v>40113.680522316252</v>
      </c>
      <c r="Z18" s="3">
        <f t="shared" si="12"/>
        <v>40514.817327539415</v>
      </c>
      <c r="AA18" s="3">
        <f t="shared" si="12"/>
        <v>40919.965500814811</v>
      </c>
      <c r="AB18" s="3">
        <f t="shared" si="12"/>
        <v>41329.165155822957</v>
      </c>
      <c r="AC18" s="3">
        <f t="shared" si="12"/>
        <v>41742.45680738119</v>
      </c>
      <c r="AD18" s="3">
        <f t="shared" si="12"/>
        <v>42159.881375454999</v>
      </c>
      <c r="AE18" s="3">
        <f t="shared" si="12"/>
        <v>42581.480189209549</v>
      </c>
      <c r="AF18" s="3">
        <f t="shared" si="12"/>
        <v>43007.294991101648</v>
      </c>
      <c r="AG18" s="3">
        <f t="shared" si="12"/>
        <v>43437.367941012664</v>
      </c>
      <c r="AH18" s="3">
        <f t="shared" si="12"/>
        <v>43871.741620422792</v>
      </c>
      <c r="AI18" s="3">
        <f t="shared" si="12"/>
        <v>44310.45903662702</v>
      </c>
      <c r="AJ18" s="3">
        <f t="shared" si="12"/>
        <v>44753.563626993287</v>
      </c>
      <c r="AK18" s="3">
        <f t="shared" si="12"/>
        <v>45201.099263263219</v>
      </c>
      <c r="AL18" s="3">
        <f t="shared" si="12"/>
        <v>45653.110255895852</v>
      </c>
      <c r="AM18" s="3">
        <f t="shared" si="12"/>
        <v>46109.641358454814</v>
      </c>
      <c r="AN18" s="3">
        <f t="shared" si="12"/>
        <v>46570.737772039363</v>
      </c>
      <c r="AO18" s="3">
        <f t="shared" si="12"/>
        <v>47036.445149759755</v>
      </c>
      <c r="AP18" s="3">
        <f t="shared" si="12"/>
        <v>47506.809601257351</v>
      </c>
      <c r="AQ18" s="3">
        <f t="shared" si="12"/>
        <v>47981.877697269927</v>
      </c>
      <c r="AR18" s="3">
        <f t="shared" si="12"/>
        <v>48461.696474242628</v>
      </c>
      <c r="AS18" s="3">
        <f t="shared" si="12"/>
        <v>48946.313438985053</v>
      </c>
      <c r="AT18" s="3">
        <f t="shared" si="12"/>
        <v>49435.776573374904</v>
      </c>
      <c r="AU18" s="3">
        <f t="shared" si="12"/>
        <v>49930.134339108656</v>
      </c>
      <c r="AV18" s="3">
        <f t="shared" si="12"/>
        <v>50429.435682499745</v>
      </c>
      <c r="AW18" s="3">
        <f t="shared" si="12"/>
        <v>50933.730039324742</v>
      </c>
      <c r="AX18" s="3">
        <f t="shared" si="12"/>
        <v>51443.067339717993</v>
      </c>
      <c r="AY18" s="3">
        <f t="shared" si="12"/>
        <v>51957.498013115175</v>
      </c>
      <c r="AZ18" s="3">
        <f t="shared" si="12"/>
        <v>52477.072993246329</v>
      </c>
      <c r="BA18" s="3">
        <f t="shared" si="12"/>
        <v>53001.84372317879</v>
      </c>
      <c r="BB18" s="3">
        <f t="shared" si="12"/>
        <v>53531.862160410579</v>
      </c>
      <c r="BC18" s="3">
        <f t="shared" si="12"/>
        <v>54067.180782014686</v>
      </c>
      <c r="BD18" s="3">
        <f t="shared" si="12"/>
        <v>54607.852589834831</v>
      </c>
      <c r="BE18" s="3">
        <f t="shared" si="12"/>
        <v>55153.931115733183</v>
      </c>
      <c r="BF18" s="3">
        <f t="shared" si="12"/>
        <v>55705.470426890519</v>
      </c>
      <c r="BG18" s="3">
        <f t="shared" si="12"/>
        <v>56262.525131159426</v>
      </c>
      <c r="BH18" s="3">
        <f t="shared" si="12"/>
        <v>56825.150382471023</v>
      </c>
      <c r="BI18" s="3">
        <f t="shared" si="12"/>
        <v>57393.401886295731</v>
      </c>
      <c r="BJ18" s="3">
        <f t="shared" si="12"/>
        <v>57967.335905158689</v>
      </c>
      <c r="BK18" s="3">
        <f t="shared" si="12"/>
        <v>58547.009264210275</v>
      </c>
      <c r="BL18" s="3">
        <f t="shared" si="12"/>
        <v>59132.479356852382</v>
      </c>
      <c r="BM18" s="3">
        <f t="shared" si="12"/>
        <v>59723.804150420903</v>
      </c>
      <c r="BN18" s="3">
        <f t="shared" si="12"/>
        <v>60321.042191925109</v>
      </c>
      <c r="BO18" s="3">
        <f t="shared" si="12"/>
        <v>60924.252613844365</v>
      </c>
      <c r="BP18" s="3">
        <f t="shared" si="12"/>
        <v>61533.495139982806</v>
      </c>
      <c r="BQ18" s="3">
        <f t="shared" si="12"/>
        <v>62148.830091382632</v>
      </c>
      <c r="BR18" s="3">
        <f t="shared" si="12"/>
        <v>62770.31839229646</v>
      </c>
      <c r="BS18" s="3">
        <f t="shared" si="12"/>
        <v>63398.021576219428</v>
      </c>
      <c r="BT18" s="3">
        <f t="shared" si="12"/>
        <v>64032.001791981624</v>
      </c>
      <c r="BU18" s="3">
        <f t="shared" si="12"/>
        <v>64672.321809901441</v>
      </c>
      <c r="BV18" s="3">
        <f t="shared" si="12"/>
        <v>65319.045028000459</v>
      </c>
      <c r="BW18" s="3">
        <f t="shared" si="12"/>
        <v>65972.235478280461</v>
      </c>
      <c r="BX18" s="3">
        <f t="shared" si="12"/>
        <v>66631.957833063265</v>
      </c>
      <c r="BY18" s="3">
        <f t="shared" si="12"/>
        <v>67298.277411393894</v>
      </c>
      <c r="BZ18" s="3">
        <f t="shared" si="12"/>
        <v>67971.260185507839</v>
      </c>
      <c r="CA18" s="3">
        <f t="shared" si="12"/>
        <v>68650.972787362916</v>
      </c>
      <c r="CB18" s="3">
        <f t="shared" si="12"/>
        <v>69337.482515236552</v>
      </c>
      <c r="CC18" s="3">
        <f t="shared" si="12"/>
        <v>70030.857340388917</v>
      </c>
      <c r="CD18" s="3">
        <f t="shared" si="12"/>
        <v>70731.165913792807</v>
      </c>
      <c r="CE18" s="3">
        <f t="shared" ref="CE18:EP18" si="13">CD18*(1+$T$22)</f>
        <v>71438.477572930729</v>
      </c>
      <c r="CF18" s="3">
        <f t="shared" si="13"/>
        <v>72152.862348660041</v>
      </c>
      <c r="CG18" s="3">
        <f t="shared" si="13"/>
        <v>72874.390972146648</v>
      </c>
      <c r="CH18" s="3">
        <f t="shared" si="13"/>
        <v>73603.134881868114</v>
      </c>
      <c r="CI18" s="3">
        <f t="shared" si="13"/>
        <v>74339.166230686795</v>
      </c>
      <c r="CJ18" s="3">
        <f t="shared" si="13"/>
        <v>75082.55789299366</v>
      </c>
      <c r="CK18" s="3">
        <f t="shared" si="13"/>
        <v>75833.383471923604</v>
      </c>
      <c r="CL18" s="3">
        <f t="shared" si="13"/>
        <v>76591.717306642837</v>
      </c>
      <c r="CM18" s="3">
        <f t="shared" si="13"/>
        <v>77357.634479709261</v>
      </c>
      <c r="CN18" s="3">
        <f t="shared" si="13"/>
        <v>78131.210824506357</v>
      </c>
      <c r="CO18" s="3">
        <f t="shared" si="13"/>
        <v>78912.522932751424</v>
      </c>
      <c r="CP18" s="3">
        <f t="shared" si="13"/>
        <v>79701.648162078942</v>
      </c>
      <c r="CQ18" s="3">
        <f t="shared" si="13"/>
        <v>80498.664643699725</v>
      </c>
      <c r="CR18" s="3">
        <f t="shared" si="13"/>
        <v>81303.651290136724</v>
      </c>
      <c r="CS18" s="3">
        <f t="shared" si="13"/>
        <v>82116.68780303809</v>
      </c>
      <c r="CT18" s="3">
        <f t="shared" si="13"/>
        <v>82937.854681068478</v>
      </c>
      <c r="CU18" s="3">
        <f t="shared" si="13"/>
        <v>83767.233227879158</v>
      </c>
      <c r="CV18" s="3">
        <f t="shared" si="13"/>
        <v>84604.905560157946</v>
      </c>
      <c r="CW18" s="3">
        <f t="shared" si="13"/>
        <v>85450.954615759532</v>
      </c>
      <c r="CX18" s="3">
        <f t="shared" si="13"/>
        <v>86305.464161917131</v>
      </c>
      <c r="CY18" s="3">
        <f t="shared" si="13"/>
        <v>87168.51880353631</v>
      </c>
      <c r="CZ18" s="3">
        <f t="shared" si="13"/>
        <v>88040.203991571674</v>
      </c>
      <c r="DA18" s="3">
        <f t="shared" si="13"/>
        <v>88920.60603148739</v>
      </c>
      <c r="DB18" s="3">
        <f t="shared" si="13"/>
        <v>89809.812091802261</v>
      </c>
      <c r="DC18" s="3">
        <f t="shared" si="13"/>
        <v>90707.910212720279</v>
      </c>
      <c r="DD18" s="3">
        <f t="shared" si="13"/>
        <v>91614.98931484748</v>
      </c>
      <c r="DE18" s="3">
        <f t="shared" si="13"/>
        <v>92531.139207995962</v>
      </c>
      <c r="DF18" s="3">
        <f t="shared" si="13"/>
        <v>93456.450600075928</v>
      </c>
      <c r="DG18" s="3">
        <f t="shared" si="13"/>
        <v>94391.015106076695</v>
      </c>
      <c r="DH18" s="3">
        <f t="shared" si="13"/>
        <v>95334.925257137467</v>
      </c>
      <c r="DI18" s="3">
        <f t="shared" si="13"/>
        <v>96288.274509708848</v>
      </c>
      <c r="DJ18" s="3">
        <f t="shared" si="13"/>
        <v>97251.157254805934</v>
      </c>
      <c r="DK18" s="3">
        <f t="shared" si="13"/>
        <v>98223.668827353991</v>
      </c>
      <c r="DL18" s="3">
        <f t="shared" si="13"/>
        <v>99205.905515627528</v>
      </c>
      <c r="DM18" s="3">
        <f t="shared" si="13"/>
        <v>100197.96457078381</v>
      </c>
      <c r="DN18" s="3">
        <f t="shared" si="13"/>
        <v>101199.94421649164</v>
      </c>
      <c r="DO18" s="3">
        <f t="shared" si="13"/>
        <v>102211.94365865656</v>
      </c>
      <c r="DP18" s="3">
        <f t="shared" si="13"/>
        <v>103234.06309524312</v>
      </c>
      <c r="DQ18" s="3">
        <f t="shared" si="13"/>
        <v>104266.40372619555</v>
      </c>
      <c r="DR18" s="3">
        <f t="shared" si="13"/>
        <v>105309.06776345751</v>
      </c>
      <c r="DS18" s="3">
        <f t="shared" si="13"/>
        <v>106362.15844109209</v>
      </c>
      <c r="DT18" s="3">
        <f t="shared" si="13"/>
        <v>107425.78002550302</v>
      </c>
      <c r="DU18" s="3">
        <f t="shared" si="13"/>
        <v>108500.03782575805</v>
      </c>
      <c r="DV18" s="3">
        <f t="shared" si="13"/>
        <v>109585.03820401563</v>
      </c>
      <c r="DW18" s="3">
        <f t="shared" si="13"/>
        <v>110680.88858605578</v>
      </c>
      <c r="DX18" s="3">
        <f t="shared" si="13"/>
        <v>111787.69747191634</v>
      </c>
      <c r="DY18" s="3">
        <f t="shared" si="13"/>
        <v>112905.57444663551</v>
      </c>
      <c r="DZ18" s="3">
        <f t="shared" si="13"/>
        <v>114034.63019110187</v>
      </c>
      <c r="EA18" s="3">
        <f t="shared" si="13"/>
        <v>115174.97649301289</v>
      </c>
      <c r="EB18" s="3">
        <f t="shared" si="13"/>
        <v>116326.72625794302</v>
      </c>
      <c r="EC18" s="3">
        <f t="shared" si="13"/>
        <v>117489.99352052246</v>
      </c>
      <c r="ED18" s="3">
        <f t="shared" si="13"/>
        <v>118664.89345572768</v>
      </c>
      <c r="EE18" s="3">
        <f t="shared" si="13"/>
        <v>119851.54239028496</v>
      </c>
      <c r="EF18" s="3">
        <f t="shared" si="13"/>
        <v>121050.05781418781</v>
      </c>
      <c r="EG18" s="3">
        <f t="shared" si="13"/>
        <v>122260.55839232968</v>
      </c>
      <c r="EH18" s="3">
        <f t="shared" si="13"/>
        <v>123483.16397625298</v>
      </c>
      <c r="EI18" s="3">
        <f t="shared" si="13"/>
        <v>124717.99561601551</v>
      </c>
      <c r="EJ18" s="3">
        <f t="shared" si="13"/>
        <v>125965.17557217566</v>
      </c>
      <c r="EK18" s="3">
        <f t="shared" si="13"/>
        <v>127224.82732789742</v>
      </c>
      <c r="EL18" s="3">
        <f t="shared" si="13"/>
        <v>128497.0756011764</v>
      </c>
      <c r="EM18" s="3">
        <f t="shared" si="13"/>
        <v>129782.04635718817</v>
      </c>
      <c r="EN18" s="3">
        <f t="shared" si="13"/>
        <v>131079.86682076004</v>
      </c>
      <c r="EO18" s="3">
        <f t="shared" si="13"/>
        <v>132390.66548896764</v>
      </c>
      <c r="EP18" s="3">
        <f t="shared" si="13"/>
        <v>133714.57214385731</v>
      </c>
      <c r="EQ18" s="3">
        <f t="shared" ref="EQ18:GX18" si="14">EP18*(1+$T$22)</f>
        <v>135051.71786529588</v>
      </c>
      <c r="ER18" s="3">
        <f t="shared" si="14"/>
        <v>136402.23504394884</v>
      </c>
      <c r="ES18" s="3">
        <f t="shared" si="14"/>
        <v>137766.25739438832</v>
      </c>
      <c r="ET18" s="3">
        <f t="shared" si="14"/>
        <v>139143.91996833219</v>
      </c>
      <c r="EU18" s="3">
        <f t="shared" si="14"/>
        <v>140535.35916801551</v>
      </c>
      <c r="EV18" s="3">
        <f t="shared" si="14"/>
        <v>141940.71275969566</v>
      </c>
      <c r="EW18" s="3">
        <f t="shared" si="14"/>
        <v>143360.11988729262</v>
      </c>
      <c r="EX18" s="3">
        <f t="shared" si="14"/>
        <v>144793.72108616555</v>
      </c>
      <c r="EY18" s="3">
        <f t="shared" si="14"/>
        <v>146241.6582970272</v>
      </c>
      <c r="EZ18" s="3">
        <f t="shared" si="14"/>
        <v>147704.07487999747</v>
      </c>
      <c r="FA18" s="3">
        <f t="shared" si="14"/>
        <v>149181.11562879744</v>
      </c>
      <c r="FB18" s="3">
        <f t="shared" si="14"/>
        <v>150672.92678508541</v>
      </c>
      <c r="FC18" s="3">
        <f t="shared" si="14"/>
        <v>152179.65605293628</v>
      </c>
      <c r="FD18" s="3">
        <f t="shared" si="14"/>
        <v>153701.45261346563</v>
      </c>
      <c r="FE18" s="3">
        <f t="shared" si="14"/>
        <v>155238.46713960028</v>
      </c>
      <c r="FF18" s="3">
        <f t="shared" si="14"/>
        <v>156790.85181099628</v>
      </c>
      <c r="FG18" s="3">
        <f t="shared" si="14"/>
        <v>158358.76032910624</v>
      </c>
      <c r="FH18" s="3">
        <f t="shared" si="14"/>
        <v>159942.3479323973</v>
      </c>
      <c r="FI18" s="3">
        <f t="shared" si="14"/>
        <v>161541.77141172127</v>
      </c>
      <c r="FJ18" s="3">
        <f t="shared" si="14"/>
        <v>163157.18912583849</v>
      </c>
      <c r="FK18" s="3">
        <f t="shared" si="14"/>
        <v>164788.76101709687</v>
      </c>
      <c r="FL18" s="3">
        <f t="shared" si="14"/>
        <v>166436.64862726783</v>
      </c>
      <c r="FM18" s="3">
        <f t="shared" si="14"/>
        <v>168101.01511354052</v>
      </c>
      <c r="FN18" s="3">
        <f t="shared" si="14"/>
        <v>169782.02526467593</v>
      </c>
      <c r="FO18" s="3">
        <f t="shared" si="14"/>
        <v>171479.84551732268</v>
      </c>
      <c r="FP18" s="3">
        <f t="shared" si="14"/>
        <v>173194.64397249592</v>
      </c>
      <c r="FQ18" s="3">
        <f t="shared" si="14"/>
        <v>174926.59041222089</v>
      </c>
      <c r="FR18" s="3">
        <f t="shared" si="14"/>
        <v>176675.8563163431</v>
      </c>
      <c r="FS18" s="3">
        <f t="shared" si="14"/>
        <v>178442.61487950652</v>
      </c>
      <c r="FT18" s="3">
        <f t="shared" si="14"/>
        <v>180227.04102830158</v>
      </c>
      <c r="FU18" s="3">
        <f t="shared" si="14"/>
        <v>182029.31143858458</v>
      </c>
      <c r="FV18" s="3">
        <f t="shared" si="14"/>
        <v>183849.60455297044</v>
      </c>
      <c r="FW18" s="3">
        <f t="shared" si="14"/>
        <v>185688.10059850014</v>
      </c>
      <c r="FX18" s="3">
        <f t="shared" si="14"/>
        <v>187544.98160448513</v>
      </c>
      <c r="FY18" s="3">
        <f t="shared" si="14"/>
        <v>189420.43142052999</v>
      </c>
      <c r="FZ18" s="3">
        <f t="shared" si="14"/>
        <v>191314.63573473529</v>
      </c>
      <c r="GA18" s="3">
        <f t="shared" si="14"/>
        <v>193227.78209208263</v>
      </c>
      <c r="GB18" s="3">
        <f t="shared" si="14"/>
        <v>195160.05991300347</v>
      </c>
      <c r="GC18" s="3">
        <f t="shared" si="14"/>
        <v>197111.6605121335</v>
      </c>
      <c r="GD18" s="3">
        <f t="shared" si="14"/>
        <v>199082.77711725485</v>
      </c>
      <c r="GE18" s="3">
        <f t="shared" si="14"/>
        <v>201073.60488842739</v>
      </c>
      <c r="GF18" s="3">
        <f t="shared" si="14"/>
        <v>203084.34093731167</v>
      </c>
      <c r="GG18" s="3">
        <f t="shared" si="14"/>
        <v>205115.18434668478</v>
      </c>
      <c r="GH18" s="3">
        <f t="shared" si="14"/>
        <v>207166.33619015163</v>
      </c>
      <c r="GI18" s="3">
        <f t="shared" si="14"/>
        <v>209237.99955205314</v>
      </c>
      <c r="GJ18" s="3">
        <f t="shared" si="14"/>
        <v>211330.37954757368</v>
      </c>
      <c r="GK18" s="3">
        <f t="shared" si="14"/>
        <v>213443.68334304943</v>
      </c>
      <c r="GL18" s="3">
        <f t="shared" si="14"/>
        <v>215578.12017647992</v>
      </c>
      <c r="GM18" s="3">
        <f t="shared" si="14"/>
        <v>217733.90137824471</v>
      </c>
      <c r="GN18" s="3">
        <f t="shared" si="14"/>
        <v>219911.24039202716</v>
      </c>
      <c r="GO18" s="3">
        <f t="shared" si="14"/>
        <v>222110.35279594743</v>
      </c>
      <c r="GP18" s="3">
        <f t="shared" si="14"/>
        <v>224331.4563239069</v>
      </c>
      <c r="GQ18" s="3">
        <f t="shared" si="14"/>
        <v>226574.77088714598</v>
      </c>
      <c r="GR18" s="3">
        <f t="shared" si="14"/>
        <v>228840.51859601744</v>
      </c>
      <c r="GS18" s="3">
        <f t="shared" si="14"/>
        <v>231128.92378197762</v>
      </c>
      <c r="GT18" s="3">
        <f t="shared" si="14"/>
        <v>233440.2130197974</v>
      </c>
      <c r="GU18" s="3">
        <f t="shared" si="14"/>
        <v>235774.61514999537</v>
      </c>
      <c r="GV18" s="3">
        <f t="shared" si="14"/>
        <v>238132.36130149532</v>
      </c>
      <c r="GW18" s="3">
        <f t="shared" si="14"/>
        <v>240513.68491451026</v>
      </c>
      <c r="GX18" s="3">
        <f t="shared" si="14"/>
        <v>242918.82176365537</v>
      </c>
    </row>
    <row r="19" spans="2:206" x14ac:dyDescent="0.45">
      <c r="B19" s="1" t="s">
        <v>17</v>
      </c>
      <c r="C19" s="3">
        <v>1896</v>
      </c>
      <c r="D19" s="3">
        <v>1975</v>
      </c>
      <c r="E19" s="3">
        <v>2092</v>
      </c>
      <c r="F19" s="3">
        <v>2151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06" x14ac:dyDescent="0.45">
      <c r="B20" s="1"/>
      <c r="C20" s="3"/>
      <c r="D20" s="3"/>
      <c r="E20" s="3"/>
      <c r="F20" s="3"/>
    </row>
    <row r="21" spans="2:206" x14ac:dyDescent="0.45">
      <c r="B21" s="1"/>
      <c r="C21" s="3"/>
      <c r="D21" s="3"/>
      <c r="E21" s="3"/>
      <c r="F21" s="3"/>
    </row>
    <row r="22" spans="2:206" x14ac:dyDescent="0.45">
      <c r="B22" s="1" t="s">
        <v>18</v>
      </c>
      <c r="C22" s="3"/>
      <c r="D22" s="6">
        <f>D3/C3-1</f>
        <v>0.8262389000286452</v>
      </c>
      <c r="E22" s="6">
        <f>E3/D3-1</f>
        <v>0.16952661793769797</v>
      </c>
      <c r="F22" s="6">
        <f>F3/E3-1</f>
        <v>0.17963573938467325</v>
      </c>
      <c r="G22" s="6">
        <f>G3/F3-1</f>
        <v>0.10000000000000009</v>
      </c>
      <c r="H22" s="6">
        <f t="shared" ref="H22:O22" si="15">H3/G3-1</f>
        <v>0.10000000000000009</v>
      </c>
      <c r="I22" s="6">
        <f t="shared" si="15"/>
        <v>0.10000000000000009</v>
      </c>
      <c r="J22" s="6">
        <f t="shared" si="15"/>
        <v>0.10000000000000009</v>
      </c>
      <c r="K22" s="6">
        <f t="shared" si="15"/>
        <v>0.10000000000000009</v>
      </c>
      <c r="L22" s="6">
        <f t="shared" si="15"/>
        <v>0.10000000000000009</v>
      </c>
      <c r="M22" s="6">
        <f t="shared" si="15"/>
        <v>0.10000000000000009</v>
      </c>
      <c r="N22" s="6">
        <f t="shared" si="15"/>
        <v>0.10000000000000009</v>
      </c>
      <c r="O22" s="6">
        <f t="shared" si="15"/>
        <v>0.10000000000000009</v>
      </c>
      <c r="P22" s="6">
        <f>P3/O3-1</f>
        <v>0.10000000000000009</v>
      </c>
      <c r="Q22" s="6">
        <f>Q3/P3-1</f>
        <v>0.10000000000000009</v>
      </c>
      <c r="S22" t="s">
        <v>65</v>
      </c>
      <c r="T22" s="9">
        <v>0.01</v>
      </c>
    </row>
    <row r="23" spans="2:206" x14ac:dyDescent="0.45">
      <c r="B23" s="1" t="s">
        <v>19</v>
      </c>
      <c r="C23" s="6">
        <f>C5/C3</f>
        <v>0.46427957605270698</v>
      </c>
      <c r="D23" s="6">
        <f>D5/D3</f>
        <v>0.38328575461931802</v>
      </c>
      <c r="E23" s="6">
        <f>E5/E3</f>
        <v>0.39762881896944824</v>
      </c>
      <c r="F23" s="6">
        <f>F5/F3</f>
        <v>0.39399245077083994</v>
      </c>
      <c r="G23" s="6">
        <f>G5/G3</f>
        <v>0.40399245077083989</v>
      </c>
      <c r="H23" s="6">
        <f t="shared" ref="H23:P23" si="16">H5/H3</f>
        <v>0.4139924507708399</v>
      </c>
      <c r="I23" s="6">
        <f t="shared" si="16"/>
        <v>0.42399245077083991</v>
      </c>
      <c r="J23" s="6">
        <f t="shared" si="16"/>
        <v>0.43399245077083992</v>
      </c>
      <c r="K23" s="6">
        <f t="shared" si="16"/>
        <v>0.44399245077083993</v>
      </c>
      <c r="L23" s="6">
        <f t="shared" si="16"/>
        <v>0.45399245077083994</v>
      </c>
      <c r="M23" s="6">
        <f t="shared" si="16"/>
        <v>0.46399245077083995</v>
      </c>
      <c r="N23" s="6">
        <f t="shared" si="16"/>
        <v>0.47399245077084001</v>
      </c>
      <c r="O23" s="6">
        <f t="shared" si="16"/>
        <v>0.48399245077084002</v>
      </c>
      <c r="P23" s="6">
        <f t="shared" si="16"/>
        <v>0.49399245077084003</v>
      </c>
      <c r="Q23" s="6">
        <f t="shared" ref="Q23" si="17">Q5/Q3</f>
        <v>0.50399245077083998</v>
      </c>
      <c r="S23" t="s">
        <v>66</v>
      </c>
      <c r="T23" s="9">
        <v>7.0000000000000007E-2</v>
      </c>
    </row>
    <row r="24" spans="2:206" x14ac:dyDescent="0.45">
      <c r="B24" s="1" t="s">
        <v>20</v>
      </c>
      <c r="C24" s="6">
        <f>C10/C3</f>
        <v>-0.2196505299341163</v>
      </c>
      <c r="D24" s="6">
        <f>D10/D3</f>
        <v>-5.7470903786429085E-2</v>
      </c>
      <c r="E24" s="6">
        <f>E10/E3</f>
        <v>2.9773879456023174E-2</v>
      </c>
      <c r="F24" s="6">
        <f>F10/F3</f>
        <v>6.3645459093182949E-2</v>
      </c>
      <c r="G24" s="6">
        <f>G10/G3</f>
        <v>9.3645459093182934E-2</v>
      </c>
      <c r="H24" s="6">
        <f t="shared" ref="H24:P24" si="18">H10/H3</f>
        <v>0.12364545909318292</v>
      </c>
      <c r="I24" s="6">
        <f t="shared" si="18"/>
        <v>0.15364545909318292</v>
      </c>
      <c r="J24" s="6">
        <f t="shared" si="18"/>
        <v>0.18364545909318294</v>
      </c>
      <c r="K24" s="6">
        <f t="shared" si="18"/>
        <v>0.21364545909318297</v>
      </c>
      <c r="L24" s="6">
        <f t="shared" si="18"/>
        <v>0.24364545909318303</v>
      </c>
      <c r="M24" s="6">
        <f t="shared" si="18"/>
        <v>0.273645459093183</v>
      </c>
      <c r="N24" s="6">
        <f t="shared" si="18"/>
        <v>0.30364545909318308</v>
      </c>
      <c r="O24" s="6">
        <f t="shared" si="18"/>
        <v>0.33364545909318305</v>
      </c>
      <c r="P24" s="6">
        <f t="shared" si="18"/>
        <v>0.36364545909318308</v>
      </c>
      <c r="Q24" s="6">
        <f t="shared" ref="Q24" si="19">Q10/Q3</f>
        <v>0.39364545909318299</v>
      </c>
      <c r="S24" t="s">
        <v>67</v>
      </c>
      <c r="T24" s="8">
        <f>NPV(T23,G18:GX18)+Main!J6-Main!J7</f>
        <v>400416.03333463706</v>
      </c>
    </row>
    <row r="25" spans="2:206" x14ac:dyDescent="0.45">
      <c r="B25" s="1" t="s">
        <v>21</v>
      </c>
      <c r="C25" s="6">
        <f>C18/C3</f>
        <v>-2.8415926668576338E-2</v>
      </c>
      <c r="D25" s="6">
        <f>D18/D3</f>
        <v>-0.28675847789942593</v>
      </c>
      <c r="E25" s="6">
        <f>E18/E3</f>
        <v>5.0615595075239397E-2</v>
      </c>
      <c r="F25" s="6">
        <f>F18/F3</f>
        <v>0.22411205602801401</v>
      </c>
      <c r="G25" s="6">
        <f>G18/G3</f>
        <v>7.0234094319887197E-2</v>
      </c>
      <c r="H25" s="6">
        <f t="shared" ref="H25:P25" si="20">H18/H3</f>
        <v>9.2734094319887189E-2</v>
      </c>
      <c r="I25" s="6">
        <f t="shared" si="20"/>
        <v>0.1152340943198872</v>
      </c>
      <c r="J25" s="6">
        <f t="shared" si="20"/>
        <v>0.1377340943198872</v>
      </c>
      <c r="K25" s="6">
        <f t="shared" si="20"/>
        <v>0.16023409431988722</v>
      </c>
      <c r="L25" s="6">
        <f t="shared" si="20"/>
        <v>0.18273409431988727</v>
      </c>
      <c r="M25" s="6">
        <f t="shared" si="20"/>
        <v>0.20523409431988726</v>
      </c>
      <c r="N25" s="6">
        <f t="shared" si="20"/>
        <v>0.22773409431988728</v>
      </c>
      <c r="O25" s="6">
        <f t="shared" si="20"/>
        <v>0.2502340943198873</v>
      </c>
      <c r="P25" s="6">
        <f t="shared" si="20"/>
        <v>0.27273409431988732</v>
      </c>
      <c r="Q25" s="6">
        <f t="shared" ref="Q25" si="21">Q18/Q3</f>
        <v>0.29523409431988723</v>
      </c>
      <c r="S25" t="s">
        <v>60</v>
      </c>
      <c r="T25" s="10">
        <f>T24/Main!J4</f>
        <v>192.00751485081281</v>
      </c>
    </row>
    <row r="26" spans="2:206" x14ac:dyDescent="0.45">
      <c r="S26" t="s">
        <v>68</v>
      </c>
      <c r="T26" s="9">
        <f>T25/Main!J3-1</f>
        <v>1.5845674364088409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workbookViewId="0"/>
  </sheetViews>
  <sheetFormatPr defaultRowHeight="14.25" x14ac:dyDescent="0.45"/>
  <cols>
    <col min="2" max="2" width="17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14</v>
      </c>
      <c r="C3" s="3">
        <v>-496</v>
      </c>
      <c r="D3" s="3">
        <v>-9141</v>
      </c>
      <c r="E3" s="3">
        <v>1887</v>
      </c>
      <c r="F3" s="3">
        <v>9856</v>
      </c>
    </row>
    <row r="4" spans="2:6" x14ac:dyDescent="0.45">
      <c r="B4" s="1" t="s">
        <v>22</v>
      </c>
      <c r="C4" s="3">
        <v>902</v>
      </c>
      <c r="D4" s="3">
        <v>947</v>
      </c>
      <c r="E4" s="3">
        <v>823</v>
      </c>
      <c r="F4" s="3">
        <v>737</v>
      </c>
    </row>
    <row r="5" spans="2:6" x14ac:dyDescent="0.45">
      <c r="B5" s="1" t="s">
        <v>23</v>
      </c>
      <c r="C5" s="3">
        <v>-851</v>
      </c>
      <c r="D5" s="3">
        <v>8836</v>
      </c>
      <c r="E5" s="3">
        <v>875</v>
      </c>
      <c r="F5" s="3">
        <v>-3456</v>
      </c>
    </row>
    <row r="6" spans="2:6" x14ac:dyDescent="0.45">
      <c r="B6" s="1" t="s">
        <v>24</v>
      </c>
      <c r="C6" s="3">
        <f>C3+C4+C5</f>
        <v>-445</v>
      </c>
      <c r="D6" s="3">
        <f>D3+D4+D5</f>
        <v>642</v>
      </c>
      <c r="E6" s="3">
        <f>E3+E4+E5</f>
        <v>3585</v>
      </c>
      <c r="F6" s="3">
        <f>F3+F4+F5</f>
        <v>7137</v>
      </c>
    </row>
    <row r="7" spans="2:6" x14ac:dyDescent="0.45">
      <c r="B7" s="1" t="s">
        <v>25</v>
      </c>
      <c r="C7" s="3">
        <v>-1201</v>
      </c>
      <c r="D7" s="3">
        <v>-1637</v>
      </c>
      <c r="E7" s="3">
        <v>-3226</v>
      </c>
      <c r="F7" s="3">
        <v>-3177</v>
      </c>
    </row>
    <row r="8" spans="2:6" x14ac:dyDescent="0.45">
      <c r="B8" s="1" t="s">
        <v>26</v>
      </c>
      <c r="C8" s="3">
        <v>1780</v>
      </c>
      <c r="D8" s="3">
        <v>15</v>
      </c>
      <c r="E8" s="3">
        <v>-95</v>
      </c>
      <c r="F8" s="3">
        <v>-2087</v>
      </c>
    </row>
    <row r="9" spans="2:6" x14ac:dyDescent="0.45">
      <c r="B9" s="1" t="s">
        <v>27</v>
      </c>
      <c r="C9" s="3">
        <f>C6+C7+C8</f>
        <v>134</v>
      </c>
      <c r="D9" s="3">
        <f>D6+D7+D8</f>
        <v>-980</v>
      </c>
      <c r="E9" s="3">
        <f>E6+E7+E8</f>
        <v>264</v>
      </c>
      <c r="F9" s="3">
        <f>F6+F7+F8</f>
        <v>1873</v>
      </c>
    </row>
    <row r="10" spans="2:6" x14ac:dyDescent="0.45">
      <c r="B10" s="1" t="s">
        <v>28</v>
      </c>
      <c r="C10" s="3">
        <v>-445</v>
      </c>
      <c r="D10" s="3">
        <v>642</v>
      </c>
      <c r="E10" s="3">
        <v>3585</v>
      </c>
      <c r="F10" s="3">
        <v>7137</v>
      </c>
    </row>
    <row r="11" spans="2:6" x14ac:dyDescent="0.45">
      <c r="B11" s="1" t="s">
        <v>29</v>
      </c>
      <c r="C11" s="3">
        <v>-298</v>
      </c>
      <c r="D11" s="3">
        <v>-252</v>
      </c>
      <c r="E11" s="3">
        <v>-223</v>
      </c>
      <c r="F11" s="3">
        <v>-242</v>
      </c>
    </row>
    <row r="12" spans="2:6" x14ac:dyDescent="0.45">
      <c r="B12" s="1" t="s">
        <v>30</v>
      </c>
      <c r="C12" s="3">
        <f>C10+C11</f>
        <v>-743</v>
      </c>
      <c r="D12" s="3">
        <f>D10+D11</f>
        <v>390</v>
      </c>
      <c r="E12" s="3">
        <f>E10+E11</f>
        <v>3362</v>
      </c>
      <c r="F12" s="3">
        <f>F10+F11</f>
        <v>6895</v>
      </c>
    </row>
    <row r="13" spans="2:6" x14ac:dyDescent="0.45">
      <c r="B13" s="1"/>
      <c r="C13" s="3"/>
      <c r="D13" s="3"/>
      <c r="E13" s="3"/>
      <c r="F13" s="3"/>
    </row>
    <row r="14" spans="2:6" x14ac:dyDescent="0.45">
      <c r="B14" s="1"/>
      <c r="C14" s="3"/>
      <c r="D14" s="3"/>
      <c r="E14" s="3"/>
      <c r="F14" s="3"/>
    </row>
    <row r="15" spans="2:6" x14ac:dyDescent="0.45">
      <c r="B15" s="1" t="s">
        <v>31</v>
      </c>
      <c r="C15" s="6">
        <v>0</v>
      </c>
      <c r="D15" s="6">
        <v>0</v>
      </c>
      <c r="E15" s="6">
        <v>4.5841000000000003</v>
      </c>
      <c r="F15" s="6">
        <v>0.99080000000000001</v>
      </c>
    </row>
    <row r="16" spans="2:6" x14ac:dyDescent="0.45">
      <c r="B16" s="1" t="s">
        <v>32</v>
      </c>
      <c r="C16" s="6">
        <v>0</v>
      </c>
      <c r="D16" s="6">
        <v>-0.15440000000000001</v>
      </c>
      <c r="E16" s="6">
        <v>-0.11509999999999999</v>
      </c>
      <c r="F16" s="6">
        <v>8.5199999999999998E-2</v>
      </c>
    </row>
    <row r="17" spans="2:6" x14ac:dyDescent="0.45">
      <c r="B17" s="1" t="s">
        <v>33</v>
      </c>
      <c r="C17" s="6">
        <v>0</v>
      </c>
      <c r="D17" s="6">
        <v>0</v>
      </c>
      <c r="E17" s="6">
        <v>7.6204999999999998</v>
      </c>
      <c r="F17" s="6">
        <v>1.0508999999999999</v>
      </c>
    </row>
    <row r="18" spans="2:6" x14ac:dyDescent="0.45">
      <c r="B18" s="1" t="s">
        <v>34</v>
      </c>
      <c r="C18" s="6">
        <v>0</v>
      </c>
      <c r="D18" s="6">
        <v>0.60750000000000004</v>
      </c>
      <c r="E18" s="6">
        <v>0.93779999999999997</v>
      </c>
      <c r="F18" s="6">
        <v>0.96609999999999996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9"/>
  <sheetViews>
    <sheetView workbookViewId="0"/>
  </sheetViews>
  <sheetFormatPr defaultRowHeight="14.25" x14ac:dyDescent="0.45"/>
  <cols>
    <col min="2" max="2" width="25.73046875" customWidth="1"/>
  </cols>
  <sheetData>
    <row r="2" spans="2:6" x14ac:dyDescent="0.45">
      <c r="C2" s="5">
        <v>2021</v>
      </c>
      <c r="D2" s="5">
        <v>2022</v>
      </c>
      <c r="E2" s="5">
        <v>2023</v>
      </c>
      <c r="F2" s="5">
        <v>2024</v>
      </c>
    </row>
    <row r="3" spans="2:6" x14ac:dyDescent="0.45">
      <c r="B3" s="1" t="s">
        <v>35</v>
      </c>
      <c r="C3" s="3">
        <f>C4+C7</f>
        <v>38774</v>
      </c>
      <c r="D3" s="3">
        <f>D4+D7</f>
        <v>32109</v>
      </c>
      <c r="E3" s="3">
        <f>E4+E7</f>
        <v>38699</v>
      </c>
      <c r="F3" s="3">
        <f>F4+F7</f>
        <v>51244</v>
      </c>
    </row>
    <row r="4" spans="2:6" x14ac:dyDescent="0.45">
      <c r="B4" s="1" t="s">
        <v>36</v>
      </c>
      <c r="C4" s="3">
        <v>8819</v>
      </c>
      <c r="D4" s="3">
        <v>9249</v>
      </c>
      <c r="E4" s="3">
        <v>11297</v>
      </c>
      <c r="F4" s="3">
        <v>12245</v>
      </c>
    </row>
    <row r="5" spans="2:6" x14ac:dyDescent="0.45">
      <c r="B5" s="1" t="s">
        <v>37</v>
      </c>
      <c r="C5" s="3">
        <v>4295</v>
      </c>
      <c r="D5" s="3">
        <v>4311</v>
      </c>
      <c r="E5" s="3">
        <v>5407</v>
      </c>
      <c r="F5" s="3">
        <v>6977</v>
      </c>
    </row>
    <row r="6" spans="2:6" x14ac:dyDescent="0.45">
      <c r="B6" s="1" t="s">
        <v>38</v>
      </c>
      <c r="C6" s="3">
        <v>0</v>
      </c>
      <c r="D6" s="3">
        <v>0</v>
      </c>
      <c r="E6" s="3">
        <v>0</v>
      </c>
      <c r="F6" s="3">
        <v>0</v>
      </c>
    </row>
    <row r="7" spans="2:6" x14ac:dyDescent="0.45">
      <c r="B7" s="1" t="s">
        <v>39</v>
      </c>
      <c r="C7" s="3">
        <v>29955</v>
      </c>
      <c r="D7" s="3">
        <v>22860</v>
      </c>
      <c r="E7" s="3">
        <v>27402</v>
      </c>
      <c r="F7" s="3">
        <v>38999</v>
      </c>
    </row>
    <row r="8" spans="2:6" x14ac:dyDescent="0.45">
      <c r="B8" s="1" t="s">
        <v>40</v>
      </c>
      <c r="C8" s="3">
        <v>3241</v>
      </c>
      <c r="D8" s="3">
        <v>3531</v>
      </c>
      <c r="E8" s="3">
        <v>3314</v>
      </c>
      <c r="F8" s="3">
        <v>3110</v>
      </c>
    </row>
    <row r="9" spans="2:6" x14ac:dyDescent="0.45">
      <c r="B9" s="1" t="s">
        <v>41</v>
      </c>
      <c r="C9" s="3">
        <f>C10+C12</f>
        <v>23425</v>
      </c>
      <c r="D9" s="3">
        <f>D10+D12</f>
        <v>23605</v>
      </c>
      <c r="E9" s="3">
        <f>E10+E12</f>
        <v>26017</v>
      </c>
      <c r="F9" s="3">
        <f>F10+F12</f>
        <v>28768</v>
      </c>
    </row>
    <row r="10" spans="2:6" x14ac:dyDescent="0.45">
      <c r="B10" s="1" t="s">
        <v>42</v>
      </c>
      <c r="C10" s="3">
        <v>9024</v>
      </c>
      <c r="D10" s="3">
        <v>8853</v>
      </c>
      <c r="E10" s="3">
        <v>9454</v>
      </c>
      <c r="F10" s="3">
        <v>11476</v>
      </c>
    </row>
    <row r="11" spans="2:6" x14ac:dyDescent="0.45">
      <c r="B11" s="1" t="s">
        <v>43</v>
      </c>
      <c r="C11" s="3">
        <v>185</v>
      </c>
      <c r="D11" s="3">
        <v>201</v>
      </c>
      <c r="E11" s="3">
        <v>215</v>
      </c>
      <c r="F11" s="3">
        <v>1325</v>
      </c>
    </row>
    <row r="12" spans="2:6" x14ac:dyDescent="0.45">
      <c r="B12" s="1" t="s">
        <v>44</v>
      </c>
      <c r="C12" s="3">
        <v>14401</v>
      </c>
      <c r="D12" s="3">
        <v>14752</v>
      </c>
      <c r="E12" s="3">
        <v>16563</v>
      </c>
      <c r="F12" s="3">
        <v>17292</v>
      </c>
    </row>
    <row r="13" spans="2:6" x14ac:dyDescent="0.45">
      <c r="B13" s="1" t="s">
        <v>45</v>
      </c>
      <c r="C13" s="3">
        <v>10920</v>
      </c>
      <c r="D13" s="3">
        <v>10938</v>
      </c>
      <c r="E13" s="3">
        <v>11009</v>
      </c>
      <c r="F13" s="3">
        <v>9801</v>
      </c>
    </row>
    <row r="14" spans="2:6" x14ac:dyDescent="0.45">
      <c r="B14" s="1" t="s">
        <v>46</v>
      </c>
      <c r="C14" s="3">
        <f>C3+C9</f>
        <v>62199</v>
      </c>
      <c r="D14" s="3">
        <f>D3+D9</f>
        <v>55714</v>
      </c>
      <c r="E14" s="3">
        <f>E3+E9</f>
        <v>64716</v>
      </c>
      <c r="F14" s="3">
        <f>F3+F9</f>
        <v>80012</v>
      </c>
    </row>
    <row r="15" spans="2:6" x14ac:dyDescent="0.45">
      <c r="B15" s="1" t="s">
        <v>47</v>
      </c>
      <c r="C15" s="3">
        <v>14458</v>
      </c>
      <c r="D15" s="3">
        <v>7340</v>
      </c>
      <c r="E15" s="3">
        <v>11249</v>
      </c>
      <c r="F15" s="3">
        <v>21558</v>
      </c>
    </row>
    <row r="16" spans="2:6" x14ac:dyDescent="0.45">
      <c r="B16" s="1" t="s">
        <v>48</v>
      </c>
      <c r="C16" s="3">
        <v>-23626</v>
      </c>
      <c r="D16" s="3">
        <v>-32767</v>
      </c>
      <c r="E16" s="3">
        <v>-30594</v>
      </c>
      <c r="F16" s="3">
        <v>-20726</v>
      </c>
    </row>
    <row r="17" spans="2:6" x14ac:dyDescent="0.45">
      <c r="B17" s="1" t="s">
        <v>49</v>
      </c>
      <c r="C17" s="3">
        <v>6810</v>
      </c>
      <c r="D17" s="3">
        <v>6828</v>
      </c>
      <c r="E17" s="3">
        <v>5817</v>
      </c>
      <c r="F17" s="3">
        <v>4149</v>
      </c>
    </row>
    <row r="18" spans="2:6" x14ac:dyDescent="0.45">
      <c r="B18" s="1" t="s">
        <v>50</v>
      </c>
      <c r="C18" s="3">
        <v>3241</v>
      </c>
      <c r="D18" s="3">
        <v>3531</v>
      </c>
      <c r="E18" s="3">
        <v>3314</v>
      </c>
      <c r="F18" s="3">
        <v>3110</v>
      </c>
    </row>
    <row r="19" spans="2:6" x14ac:dyDescent="0.45">
      <c r="B19" s="1" t="s">
        <v>51</v>
      </c>
      <c r="C19" s="3">
        <v>29750</v>
      </c>
      <c r="D19" s="3">
        <v>23256</v>
      </c>
      <c r="E19" s="3">
        <v>29245</v>
      </c>
      <c r="F19" s="3">
        <v>39768</v>
      </c>
    </row>
    <row r="20" spans="2:6" x14ac:dyDescent="0.45">
      <c r="B20" s="1" t="s">
        <v>52</v>
      </c>
      <c r="C20" s="3">
        <v>20330</v>
      </c>
      <c r="D20" s="3">
        <v>13561</v>
      </c>
      <c r="E20" s="3">
        <v>17486</v>
      </c>
      <c r="F20" s="3">
        <v>26080</v>
      </c>
    </row>
    <row r="21" spans="2:6" x14ac:dyDescent="0.45">
      <c r="B21" s="1" t="s">
        <v>53</v>
      </c>
      <c r="C21" s="3">
        <v>-14606</v>
      </c>
      <c r="D21" s="3">
        <v>-14356</v>
      </c>
      <c r="E21" s="3">
        <v>-14720</v>
      </c>
      <c r="F21" s="3">
        <v>-16523</v>
      </c>
    </row>
    <row r="22" spans="2:6" x14ac:dyDescent="0.45">
      <c r="B22" s="1" t="s">
        <v>54</v>
      </c>
      <c r="C22" s="3">
        <v>1949</v>
      </c>
      <c r="D22" s="3">
        <v>2005</v>
      </c>
      <c r="E22" s="3">
        <v>2071</v>
      </c>
      <c r="F22" s="3">
        <v>2108</v>
      </c>
    </row>
    <row r="23" spans="2:6" x14ac:dyDescent="0.45">
      <c r="B23" s="1"/>
      <c r="C23" s="3"/>
      <c r="D23" s="3"/>
      <c r="E23" s="3"/>
      <c r="F23" s="3"/>
    </row>
    <row r="24" spans="2:6" x14ac:dyDescent="0.45">
      <c r="B24" s="1"/>
      <c r="C24" s="3"/>
      <c r="D24" s="3"/>
      <c r="E24" s="3"/>
      <c r="F24" s="3"/>
    </row>
    <row r="25" spans="2:6" x14ac:dyDescent="0.45">
      <c r="B25" s="1" t="s">
        <v>55</v>
      </c>
      <c r="C25" s="6">
        <v>0.72349999999999992</v>
      </c>
      <c r="D25" s="6">
        <v>1.3099000000000001</v>
      </c>
      <c r="E25" s="6">
        <v>0.88500000000000001</v>
      </c>
      <c r="F25" s="6">
        <v>0.495</v>
      </c>
    </row>
    <row r="26" spans="2:6" x14ac:dyDescent="0.45">
      <c r="B26" s="1" t="s">
        <v>56</v>
      </c>
      <c r="C26" s="6">
        <v>0</v>
      </c>
      <c r="D26" s="6">
        <v>-0.1719</v>
      </c>
      <c r="E26" s="6">
        <v>0.20519999999999999</v>
      </c>
      <c r="F26" s="6">
        <v>0.32419999999999999</v>
      </c>
    </row>
    <row r="27" spans="2:6" x14ac:dyDescent="0.45">
      <c r="B27" s="1" t="s">
        <v>57</v>
      </c>
      <c r="C27" s="6">
        <v>0</v>
      </c>
      <c r="D27" s="6">
        <v>8.9499999999999996E-2</v>
      </c>
      <c r="E27" s="6">
        <v>-6.1500000000000013E-2</v>
      </c>
      <c r="F27" s="6">
        <v>-6.1600000000000002E-2</v>
      </c>
    </row>
    <row r="28" spans="2:6" x14ac:dyDescent="0.45">
      <c r="B28" s="1" t="s">
        <v>58</v>
      </c>
      <c r="C28" s="6">
        <v>0</v>
      </c>
      <c r="D28" s="6">
        <v>-0.49230000000000002</v>
      </c>
      <c r="E28" s="6">
        <v>0.53259999999999996</v>
      </c>
      <c r="F28" s="6">
        <v>0.91639999999999999</v>
      </c>
    </row>
    <row r="29" spans="2:6" x14ac:dyDescent="0.45">
      <c r="B29" s="1" t="s">
        <v>59</v>
      </c>
      <c r="C29" s="6">
        <v>0</v>
      </c>
      <c r="D29" s="6">
        <v>-0.33300000000000002</v>
      </c>
      <c r="E29" s="6">
        <v>0.28939999999999999</v>
      </c>
      <c r="F29" s="6">
        <v>0.49149999999999999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Income Statement</vt:lpstr>
      <vt:lpstr>Cash Flow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2026-02-09T15:32:18Z</dcterms:created>
  <dcterms:modified xsi:type="dcterms:W3CDTF">2026-02-09T15:39:02Z</dcterms:modified>
</cp:coreProperties>
</file>