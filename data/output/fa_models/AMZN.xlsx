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Income Statement(a)" sheetId="2" r:id="rId2"/>
    <sheet name="Income Statement(q)" sheetId="3" r:id="rId3"/>
    <sheet name="Cash Flow(a)" sheetId="4" r:id="rId4"/>
    <sheet name="Cash Flow(q)" sheetId="5" r:id="rId5"/>
    <sheet name="Balance Sheet(a)" sheetId="6" r:id="rId6"/>
    <sheet name="Balance Sheet(q)" sheetId="7" r:id="rId7"/>
  </sheets>
  <calcPr calcId="124519" fullCalcOnLoad="1"/>
</workbook>
</file>

<file path=xl/sharedStrings.xml><?xml version="1.0" encoding="utf-8"?>
<sst xmlns="http://schemas.openxmlformats.org/spreadsheetml/2006/main" count="190" uniqueCount="94">
  <si>
    <t>USD (in millions)</t>
  </si>
  <si>
    <t>Revenue</t>
  </si>
  <si>
    <t>COGS</t>
  </si>
  <si>
    <t>Gross Profit</t>
  </si>
  <si>
    <t>SG&amp;A</t>
  </si>
  <si>
    <t>R&amp;D</t>
  </si>
  <si>
    <t>Others</t>
  </si>
  <si>
    <t>Operating Expense</t>
  </si>
  <si>
    <t>Operating Income</t>
  </si>
  <si>
    <t>Net Interest</t>
  </si>
  <si>
    <t>Other Income</t>
  </si>
  <si>
    <t>Pretax Income</t>
  </si>
  <si>
    <t>Taxes</t>
  </si>
  <si>
    <t>After-Tax Adj</t>
  </si>
  <si>
    <t>Net Income</t>
  </si>
  <si>
    <t>Other Stockholders</t>
  </si>
  <si>
    <t>NI Common</t>
  </si>
  <si>
    <t>Avg Shares</t>
  </si>
  <si>
    <t>Rev Growth</t>
  </si>
  <si>
    <t>Gross Margin</t>
  </si>
  <si>
    <t>Op Margin</t>
  </si>
  <si>
    <t>Net Margin</t>
  </si>
  <si>
    <t>FY24Q4</t>
  </si>
  <si>
    <t>FY25Q1</t>
  </si>
  <si>
    <t>FY25Q2</t>
  </si>
  <si>
    <t>FY25Q3</t>
  </si>
  <si>
    <t>FY25Q4</t>
  </si>
  <si>
    <t>D&amp;A</t>
  </si>
  <si>
    <t>Change In Working Capital</t>
  </si>
  <si>
    <t>Other Adj</t>
  </si>
  <si>
    <t>CFO</t>
  </si>
  <si>
    <t>Purchase Of Business</t>
  </si>
  <si>
    <t>Purchase Of Investment</t>
  </si>
  <si>
    <t>Sale Of Investment</t>
  </si>
  <si>
    <t>Other Investing</t>
  </si>
  <si>
    <t>CFI</t>
  </si>
  <si>
    <t>Repayment Of Debt</t>
  </si>
  <si>
    <t>Repurchase Of Capital Stock</t>
  </si>
  <si>
    <t>Cash Dividends Paid</t>
  </si>
  <si>
    <t>Common Stock Issuance</t>
  </si>
  <si>
    <t>Other Financing</t>
  </si>
  <si>
    <t>CFF</t>
  </si>
  <si>
    <t>Changes In Cash</t>
  </si>
  <si>
    <t>Supplementary Adj</t>
  </si>
  <si>
    <t>Beginning Cash Position</t>
  </si>
  <si>
    <t>End Cash Position</t>
  </si>
  <si>
    <t>OCF</t>
  </si>
  <si>
    <t>Cap Ex</t>
  </si>
  <si>
    <t>FCF</t>
  </si>
  <si>
    <t>CFGrowth</t>
  </si>
  <si>
    <t>CXChange</t>
  </si>
  <si>
    <t>FCFGrowth</t>
  </si>
  <si>
    <t>FCFMargin</t>
  </si>
  <si>
    <t>Cash &amp; Short Inv</t>
  </si>
  <si>
    <t>Accounts Receivable</t>
  </si>
  <si>
    <t>Inventory</t>
  </si>
  <si>
    <t>Other Current Assets</t>
  </si>
  <si>
    <t>Current Assets</t>
  </si>
  <si>
    <t>PPE</t>
  </si>
  <si>
    <t>Goodwill</t>
  </si>
  <si>
    <t>Other Assets</t>
  </si>
  <si>
    <t>Non-Current Assets</t>
  </si>
  <si>
    <t>Total Assets</t>
  </si>
  <si>
    <t>Accounts Payable</t>
  </si>
  <si>
    <t>Short Term Debt</t>
  </si>
  <si>
    <t>Other Current Liabilities</t>
  </si>
  <si>
    <t>Current Liabilities</t>
  </si>
  <si>
    <t>Long Term Debt</t>
  </si>
  <si>
    <t>Other Liabilities</t>
  </si>
  <si>
    <t>Non-Current Liabilities</t>
  </si>
  <si>
    <t>Total Liabilities</t>
  </si>
  <si>
    <t>Additional Paid In Capital</t>
  </si>
  <si>
    <t>Retained Earnings</t>
  </si>
  <si>
    <t>Accumulated Other Changes</t>
  </si>
  <si>
    <t>Stockholders Equity</t>
  </si>
  <si>
    <t>Non-Controlling Interest</t>
  </si>
  <si>
    <t>Total Equity</t>
  </si>
  <si>
    <t>Common Stock Equity</t>
  </si>
  <si>
    <t>Total Debt</t>
  </si>
  <si>
    <t>Net Debt</t>
  </si>
  <si>
    <t>Tangible Assets</t>
  </si>
  <si>
    <t>Invested Capital</t>
  </si>
  <si>
    <t>NCAV</t>
  </si>
  <si>
    <t>Shares</t>
  </si>
  <si>
    <t>D_E</t>
  </si>
  <si>
    <t>Assets Growth</t>
  </si>
  <si>
    <t>TAGrowth</t>
  </si>
  <si>
    <t>Equity Growth</t>
  </si>
  <si>
    <t>ICGrowth</t>
  </si>
  <si>
    <t>Price</t>
  </si>
  <si>
    <t>MC</t>
  </si>
  <si>
    <t>Cash</t>
  </si>
  <si>
    <t>Debt</t>
  </si>
  <si>
    <t>EV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</si>
</sst>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#,##0"/>
    <numFmt numFmtId="166" formatCode="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8"/>
  <sheetViews>
    <sheetView tabSelected="1" workbookViewId="0"/>
  </sheetViews>
  <sheetFormatPr defaultRowHeight="15"/>
  <cols>
    <col min="2" max="2" width="12.7109375" customWidth="1"/>
    <col min="9" max="9" width="8.7109375" customWidth="1"/>
  </cols>
  <sheetData>
    <row r="3" spans="2:10">
      <c r="B3" s="1" t="s">
        <v>0</v>
      </c>
      <c r="I3" s="1" t="s">
        <v>89</v>
      </c>
      <c r="J3" s="2">
        <v>204.08</v>
      </c>
    </row>
    <row r="4" spans="2:10">
      <c r="I4" s="1" t="s">
        <v>83</v>
      </c>
      <c r="J4" s="3">
        <v>10734.92075578205</v>
      </c>
    </row>
    <row r="5" spans="2:10">
      <c r="I5" s="1" t="s">
        <v>90</v>
      </c>
      <c r="J5" s="3">
        <f>J3*J4</f>
        <v>0</v>
      </c>
    </row>
    <row r="6" spans="2:10">
      <c r="I6" s="1" t="s">
        <v>91</v>
      </c>
      <c r="J6" s="3">
        <v>123029</v>
      </c>
    </row>
    <row r="7" spans="2:10">
      <c r="I7" s="1" t="s">
        <v>92</v>
      </c>
      <c r="J7" s="3">
        <v>152987</v>
      </c>
    </row>
    <row r="8" spans="2:10">
      <c r="I8" s="1" t="s">
        <v>93</v>
      </c>
      <c r="J8" s="3">
        <f>J5+J7-J6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F25"/>
  <sheetViews>
    <sheetView workbookViewId="0"/>
  </sheetViews>
  <sheetFormatPr defaultRowHeight="15"/>
  <cols>
    <col min="2" max="2" width="20.7109375" customWidth="1"/>
  </cols>
  <sheetData>
    <row r="2" spans="2:6">
      <c r="C2" s="4">
        <v>2022</v>
      </c>
      <c r="D2" s="4">
        <v>2023</v>
      </c>
      <c r="E2" s="4">
        <v>2024</v>
      </c>
      <c r="F2" s="4">
        <v>2025</v>
      </c>
    </row>
    <row r="3" spans="2:6">
      <c r="B3" s="1" t="s">
        <v>1</v>
      </c>
      <c r="C3" s="3">
        <v>513983</v>
      </c>
      <c r="D3" s="3">
        <v>574785</v>
      </c>
      <c r="E3" s="3">
        <v>637959</v>
      </c>
      <c r="F3" s="3">
        <v>716924</v>
      </c>
    </row>
    <row r="4" spans="2:6">
      <c r="B4" s="1" t="s">
        <v>2</v>
      </c>
      <c r="C4" s="3">
        <v>-288831</v>
      </c>
      <c r="D4" s="3">
        <v>-304739</v>
      </c>
      <c r="E4" s="3">
        <v>-326288</v>
      </c>
      <c r="F4" s="3">
        <v>-356414</v>
      </c>
    </row>
    <row r="5" spans="2:6">
      <c r="B5" s="1" t="s">
        <v>3</v>
      </c>
      <c r="C5" s="3">
        <f>C3+C4</f>
        <v>0</v>
      </c>
      <c r="D5" s="3">
        <f>D3+D4</f>
        <v>0</v>
      </c>
      <c r="E5" s="3">
        <f>E3+E4</f>
        <v>0</v>
      </c>
      <c r="F5" s="3">
        <f>F3+F4</f>
        <v>0</v>
      </c>
    </row>
    <row r="6" spans="2:6">
      <c r="B6" s="1" t="s">
        <v>4</v>
      </c>
      <c r="C6" s="3">
        <v>-54129</v>
      </c>
      <c r="D6" s="3">
        <v>-56186</v>
      </c>
      <c r="E6" s="3">
        <v>-55266</v>
      </c>
      <c r="F6" s="3">
        <v>-58301</v>
      </c>
    </row>
    <row r="7" spans="2:6">
      <c r="B7" s="1" t="s">
        <v>5</v>
      </c>
      <c r="C7" s="3">
        <v>0</v>
      </c>
      <c r="D7" s="3">
        <v>0</v>
      </c>
      <c r="E7" s="3">
        <v>0</v>
      </c>
      <c r="F7" s="3">
        <v>0</v>
      </c>
    </row>
    <row r="8" spans="2:6">
      <c r="B8" s="1" t="s">
        <v>6</v>
      </c>
      <c r="C8" s="3">
        <v>-158775</v>
      </c>
      <c r="D8" s="3">
        <v>-177008</v>
      </c>
      <c r="E8" s="3">
        <v>-187812</v>
      </c>
      <c r="F8" s="3">
        <v>-222234</v>
      </c>
    </row>
    <row r="9" spans="2:6">
      <c r="B9" s="1" t="s">
        <v>7</v>
      </c>
      <c r="C9" s="3">
        <f>C6+C7+C8</f>
        <v>0</v>
      </c>
      <c r="D9" s="3">
        <f>D6+D7+D8</f>
        <v>0</v>
      </c>
      <c r="E9" s="3">
        <f>E6+E7+E8</f>
        <v>0</v>
      </c>
      <c r="F9" s="3">
        <f>F6+F7+F8</f>
        <v>0</v>
      </c>
    </row>
    <row r="10" spans="2:6">
      <c r="B10" s="1" t="s">
        <v>8</v>
      </c>
      <c r="C10" s="3">
        <f>C5+C9</f>
        <v>0</v>
      </c>
      <c r="D10" s="3">
        <f>D5+D9</f>
        <v>0</v>
      </c>
      <c r="E10" s="3">
        <f>E5+E9</f>
        <v>0</v>
      </c>
      <c r="F10" s="3">
        <f>F5+F9</f>
        <v>0</v>
      </c>
    </row>
    <row r="11" spans="2:6">
      <c r="B11" s="1" t="s">
        <v>9</v>
      </c>
      <c r="C11" s="3">
        <v>-1378</v>
      </c>
      <c r="D11" s="3">
        <v>-233</v>
      </c>
      <c r="E11" s="3">
        <v>2271</v>
      </c>
      <c r="F11" s="3">
        <v>2107</v>
      </c>
    </row>
    <row r="12" spans="2:6">
      <c r="B12" s="1" t="s">
        <v>10</v>
      </c>
      <c r="C12" s="3">
        <v>-16806</v>
      </c>
      <c r="D12" s="3">
        <v>938</v>
      </c>
      <c r="E12" s="3">
        <v>-2250</v>
      </c>
      <c r="F12" s="3">
        <v>15229</v>
      </c>
    </row>
    <row r="13" spans="2:6">
      <c r="B13" s="1" t="s">
        <v>11</v>
      </c>
      <c r="C13" s="3">
        <f>C10+C11+C12</f>
        <v>0</v>
      </c>
      <c r="D13" s="3">
        <f>D10+D11+D12</f>
        <v>0</v>
      </c>
      <c r="E13" s="3">
        <f>E10+E11+E12</f>
        <v>0</v>
      </c>
      <c r="F13" s="3">
        <f>F10+F11+F12</f>
        <v>0</v>
      </c>
    </row>
    <row r="14" spans="2:6">
      <c r="B14" s="1" t="s">
        <v>12</v>
      </c>
      <c r="C14" s="3">
        <v>3217</v>
      </c>
      <c r="D14" s="3">
        <v>-7120</v>
      </c>
      <c r="E14" s="3">
        <v>-9265</v>
      </c>
      <c r="F14" s="3">
        <v>-19087</v>
      </c>
    </row>
    <row r="15" spans="2:6">
      <c r="B15" s="1" t="s">
        <v>13</v>
      </c>
      <c r="C15" s="3">
        <v>-3</v>
      </c>
      <c r="D15" s="3">
        <v>-12</v>
      </c>
      <c r="E15" s="3">
        <v>-101</v>
      </c>
      <c r="F15" s="3">
        <v>-554</v>
      </c>
    </row>
    <row r="16" spans="2:6">
      <c r="B16" s="1" t="s">
        <v>14</v>
      </c>
      <c r="C16" s="3">
        <f>C13+C14+C15</f>
        <v>0</v>
      </c>
      <c r="D16" s="3">
        <f>D13+D14+D15</f>
        <v>0</v>
      </c>
      <c r="E16" s="3">
        <f>E13+E14+E15</f>
        <v>0</v>
      </c>
      <c r="F16" s="3">
        <f>F13+F14+F15</f>
        <v>0</v>
      </c>
    </row>
    <row r="17" spans="2:6">
      <c r="B17" s="1" t="s">
        <v>15</v>
      </c>
      <c r="C17" s="3">
        <v>0</v>
      </c>
      <c r="D17" s="3">
        <v>0</v>
      </c>
      <c r="E17" s="3">
        <v>0</v>
      </c>
      <c r="F17" s="3">
        <v>0</v>
      </c>
    </row>
    <row r="18" spans="2:6">
      <c r="B18" s="1" t="s">
        <v>16</v>
      </c>
      <c r="C18" s="3">
        <f>C16+C17</f>
        <v>0</v>
      </c>
      <c r="D18" s="3">
        <f>D16+D17</f>
        <v>0</v>
      </c>
      <c r="E18" s="3">
        <f>E16+E17</f>
        <v>0</v>
      </c>
      <c r="F18" s="3">
        <f>F16+F17</f>
        <v>0</v>
      </c>
    </row>
    <row r="19" spans="2:6">
      <c r="B19" s="1" t="s">
        <v>17</v>
      </c>
      <c r="C19" s="3">
        <v>10242</v>
      </c>
      <c r="D19" s="3">
        <v>10492</v>
      </c>
      <c r="E19" s="3">
        <v>10721</v>
      </c>
      <c r="F19" s="3">
        <v>10827</v>
      </c>
    </row>
    <row r="20" spans="2:6">
      <c r="B20" s="1"/>
      <c r="C20" s="3"/>
      <c r="D20" s="3"/>
      <c r="E20" s="3"/>
      <c r="F20" s="3"/>
    </row>
    <row r="21" spans="2:6">
      <c r="B21" s="1"/>
      <c r="C21" s="3"/>
      <c r="D21" s="3"/>
      <c r="E21" s="3"/>
      <c r="F21" s="3"/>
    </row>
    <row r="22" spans="2:6">
      <c r="B22" s="1" t="s">
        <v>18</v>
      </c>
      <c r="C22" s="5">
        <v>0</v>
      </c>
      <c r="D22" s="5">
        <f>IFERROR((D3-C3)/C3,0)</f>
        <v>0</v>
      </c>
      <c r="E22" s="5">
        <f>IFERROR((E3-D3)/D3,0)</f>
        <v>0</v>
      </c>
      <c r="F22" s="5">
        <f>IFERROR((F3-E3)/E3,0)</f>
        <v>0</v>
      </c>
    </row>
    <row r="23" spans="2:6">
      <c r="B23" s="1" t="s">
        <v>19</v>
      </c>
      <c r="C23" s="5">
        <f>C5/C3</f>
        <v>0</v>
      </c>
      <c r="D23" s="5">
        <f>D5/D3</f>
        <v>0</v>
      </c>
      <c r="E23" s="5">
        <f>E5/E3</f>
        <v>0</v>
      </c>
      <c r="F23" s="5">
        <f>F5/F3</f>
        <v>0</v>
      </c>
    </row>
    <row r="24" spans="2:6">
      <c r="B24" s="1" t="s">
        <v>20</v>
      </c>
      <c r="C24" s="5">
        <f>C10/C3</f>
        <v>0</v>
      </c>
      <c r="D24" s="5">
        <f>D10/D3</f>
        <v>0</v>
      </c>
      <c r="E24" s="5">
        <f>E10/E3</f>
        <v>0</v>
      </c>
      <c r="F24" s="5">
        <f>F10/F3</f>
        <v>0</v>
      </c>
    </row>
    <row r="25" spans="2:6">
      <c r="B25" s="1" t="s">
        <v>21</v>
      </c>
      <c r="C25" s="5">
        <f>C18/C3</f>
        <v>0</v>
      </c>
      <c r="D25" s="5">
        <f>D18/D3</f>
        <v>0</v>
      </c>
      <c r="E25" s="5">
        <f>E18/E3</f>
        <v>0</v>
      </c>
      <c r="F25" s="5">
        <f>F18/F3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G25"/>
  <sheetViews>
    <sheetView workbookViewId="0"/>
  </sheetViews>
  <sheetFormatPr defaultRowHeight="15"/>
  <cols>
    <col min="2" max="2" width="20.7109375" customWidth="1"/>
  </cols>
  <sheetData>
    <row r="2" spans="2:7"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</row>
    <row r="3" spans="2:7">
      <c r="B3" s="1" t="s">
        <v>1</v>
      </c>
      <c r="C3" s="3">
        <v>187792</v>
      </c>
      <c r="D3" s="3">
        <v>155667</v>
      </c>
      <c r="E3" s="3">
        <v>167702</v>
      </c>
      <c r="F3" s="3">
        <v>180169</v>
      </c>
      <c r="G3" s="3">
        <v>213386</v>
      </c>
    </row>
    <row r="4" spans="2:7">
      <c r="B4" s="1" t="s">
        <v>2</v>
      </c>
      <c r="C4" s="3">
        <v>-98893</v>
      </c>
      <c r="D4" s="3">
        <v>-76976</v>
      </c>
      <c r="E4" s="3">
        <v>-80809</v>
      </c>
      <c r="F4" s="3">
        <v>-88670</v>
      </c>
      <c r="G4" s="3">
        <v>-109959</v>
      </c>
    </row>
    <row r="5" spans="2:7">
      <c r="B5" s="1" t="s">
        <v>3</v>
      </c>
      <c r="C5" s="3">
        <f>C3+C4</f>
        <v>0</v>
      </c>
      <c r="D5" s="3">
        <f>D3+D4</f>
        <v>0</v>
      </c>
      <c r="E5" s="3">
        <f>E3+E4</f>
        <v>0</v>
      </c>
      <c r="F5" s="3">
        <f>F3+F4</f>
        <v>0</v>
      </c>
      <c r="G5" s="3">
        <f>G3+G4</f>
        <v>0</v>
      </c>
    </row>
    <row r="6" spans="2:7">
      <c r="B6" s="1" t="s">
        <v>4</v>
      </c>
      <c r="C6" s="3">
        <v>-15987</v>
      </c>
      <c r="D6" s="3">
        <v>-12391</v>
      </c>
      <c r="E6" s="3">
        <v>-14381</v>
      </c>
      <c r="F6" s="3">
        <v>-14561</v>
      </c>
      <c r="G6" s="3">
        <v>-16968</v>
      </c>
    </row>
    <row r="7" spans="2:7">
      <c r="B7" s="1" t="s">
        <v>5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2:7">
      <c r="B8" s="1" t="s">
        <v>6</v>
      </c>
      <c r="C8" s="3">
        <v>-51709</v>
      </c>
      <c r="D8" s="3">
        <v>-47895</v>
      </c>
      <c r="E8" s="3">
        <v>-53341</v>
      </c>
      <c r="F8" s="3">
        <v>-59516</v>
      </c>
      <c r="G8" s="3">
        <v>-61482</v>
      </c>
    </row>
    <row r="9" spans="2:7">
      <c r="B9" s="1" t="s">
        <v>7</v>
      </c>
      <c r="C9" s="3">
        <f>C6+C7+C8</f>
        <v>0</v>
      </c>
      <c r="D9" s="3">
        <f>D6+D7+D8</f>
        <v>0</v>
      </c>
      <c r="E9" s="3">
        <f>E6+E7+E8</f>
        <v>0</v>
      </c>
      <c r="F9" s="3">
        <f>F6+F7+F8</f>
        <v>0</v>
      </c>
      <c r="G9" s="3">
        <f>G6+G7+G8</f>
        <v>0</v>
      </c>
    </row>
    <row r="10" spans="2:7">
      <c r="B10" s="1" t="s">
        <v>8</v>
      </c>
      <c r="C10" s="3">
        <f>C5+C9</f>
        <v>0</v>
      </c>
      <c r="D10" s="3">
        <f>D5+D9</f>
        <v>0</v>
      </c>
      <c r="E10" s="3">
        <f>E5+E9</f>
        <v>0</v>
      </c>
      <c r="F10" s="3">
        <f>F5+F9</f>
        <v>0</v>
      </c>
      <c r="G10" s="3">
        <f>G5+G9</f>
        <v>0</v>
      </c>
    </row>
    <row r="11" spans="2:7">
      <c r="B11" s="1" t="s">
        <v>9</v>
      </c>
      <c r="C11" s="3">
        <v>678</v>
      </c>
      <c r="D11" s="3">
        <v>525</v>
      </c>
      <c r="E11" s="3">
        <v>569</v>
      </c>
      <c r="F11" s="3">
        <v>562</v>
      </c>
      <c r="G11" s="3">
        <v>451</v>
      </c>
    </row>
    <row r="12" spans="2:7">
      <c r="B12" s="1" t="s">
        <v>10</v>
      </c>
      <c r="C12" s="3">
        <v>468</v>
      </c>
      <c r="D12" s="3">
        <v>2749</v>
      </c>
      <c r="E12" s="3">
        <v>1117</v>
      </c>
      <c r="F12" s="3">
        <v>10186</v>
      </c>
      <c r="G12" s="3">
        <v>1177</v>
      </c>
    </row>
    <row r="13" spans="2:7">
      <c r="B13" s="1" t="s">
        <v>11</v>
      </c>
      <c r="C13" s="3">
        <f>C10+C11+C12</f>
        <v>0</v>
      </c>
      <c r="D13" s="3">
        <f>D10+D11+D12</f>
        <v>0</v>
      </c>
      <c r="E13" s="3">
        <f>E10+E11+E12</f>
        <v>0</v>
      </c>
      <c r="F13" s="3">
        <f>F10+F11+F12</f>
        <v>0</v>
      </c>
      <c r="G13" s="3">
        <f>G10+G11+G12</f>
        <v>0</v>
      </c>
    </row>
    <row r="14" spans="2:7">
      <c r="B14" s="1" t="s">
        <v>12</v>
      </c>
      <c r="C14" s="3">
        <v>-2325</v>
      </c>
      <c r="D14" s="3">
        <v>-4553</v>
      </c>
      <c r="E14" s="3">
        <v>-2678</v>
      </c>
      <c r="F14" s="3">
        <v>-6910</v>
      </c>
      <c r="G14" s="3">
        <v>-4946</v>
      </c>
    </row>
    <row r="15" spans="2:7">
      <c r="B15" s="1" t="s">
        <v>13</v>
      </c>
      <c r="C15" s="3">
        <v>-20</v>
      </c>
      <c r="D15" s="3">
        <v>1</v>
      </c>
      <c r="E15" s="3">
        <v>-15</v>
      </c>
      <c r="F15" s="3">
        <v>-73</v>
      </c>
      <c r="G15" s="3">
        <v>-467</v>
      </c>
    </row>
    <row r="16" spans="2:7">
      <c r="B16" s="1" t="s">
        <v>14</v>
      </c>
      <c r="C16" s="3">
        <f>C13+C14+C15</f>
        <v>0</v>
      </c>
      <c r="D16" s="3">
        <f>D13+D14+D15</f>
        <v>0</v>
      </c>
      <c r="E16" s="3">
        <f>E13+E14+E15</f>
        <v>0</v>
      </c>
      <c r="F16" s="3">
        <f>F13+F14+F15</f>
        <v>0</v>
      </c>
      <c r="G16" s="3">
        <f>G13+G14+G15</f>
        <v>0</v>
      </c>
    </row>
    <row r="17" spans="2:7">
      <c r="B17" s="1" t="s">
        <v>15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2:7">
      <c r="B18" s="1" t="s">
        <v>16</v>
      </c>
      <c r="C18" s="3">
        <f>C16+C17</f>
        <v>0</v>
      </c>
      <c r="D18" s="3">
        <f>D16+D17</f>
        <v>0</v>
      </c>
      <c r="E18" s="3">
        <f>E16+E17</f>
        <v>0</v>
      </c>
      <c r="F18" s="3">
        <f>F16+F17</f>
        <v>0</v>
      </c>
      <c r="G18" s="3">
        <f>G16+G17</f>
        <v>0</v>
      </c>
    </row>
    <row r="19" spans="2:7">
      <c r="B19" s="1" t="s">
        <v>17</v>
      </c>
      <c r="C19" s="3">
        <v>10771</v>
      </c>
      <c r="D19" s="3">
        <v>10793</v>
      </c>
      <c r="E19" s="3">
        <v>10806</v>
      </c>
      <c r="F19" s="3">
        <v>10845</v>
      </c>
      <c r="G19" s="3">
        <v>10863</v>
      </c>
    </row>
    <row r="20" spans="2:7">
      <c r="B20" s="1"/>
      <c r="C20" s="3"/>
      <c r="D20" s="3"/>
      <c r="E20" s="3"/>
      <c r="F20" s="3"/>
      <c r="G20" s="3"/>
    </row>
    <row r="21" spans="2:7">
      <c r="B21" s="1"/>
      <c r="C21" s="3"/>
      <c r="D21" s="3"/>
      <c r="E21" s="3"/>
      <c r="F21" s="3"/>
      <c r="G21" s="3"/>
    </row>
    <row r="22" spans="2:7">
      <c r="B22" s="1" t="s">
        <v>18</v>
      </c>
      <c r="C22" s="5">
        <v>0</v>
      </c>
      <c r="D22" s="5">
        <f>IFERROR((D3-C3)/C3,0)</f>
        <v>0</v>
      </c>
      <c r="E22" s="5">
        <f>IFERROR((E3-D3)/D3,0)</f>
        <v>0</v>
      </c>
      <c r="F22" s="5">
        <f>IFERROR((F3-E3)/E3,0)</f>
        <v>0</v>
      </c>
      <c r="G22" s="5">
        <f>IFERROR((G3-F3)/F3,0)</f>
        <v>0</v>
      </c>
    </row>
    <row r="23" spans="2:7">
      <c r="B23" s="1" t="s">
        <v>19</v>
      </c>
      <c r="C23" s="5">
        <f>C5/C3</f>
        <v>0</v>
      </c>
      <c r="D23" s="5">
        <f>D5/D3</f>
        <v>0</v>
      </c>
      <c r="E23" s="5">
        <f>E5/E3</f>
        <v>0</v>
      </c>
      <c r="F23" s="5">
        <f>F5/F3</f>
        <v>0</v>
      </c>
      <c r="G23" s="5">
        <f>G5/G3</f>
        <v>0</v>
      </c>
    </row>
    <row r="24" spans="2:7">
      <c r="B24" s="1" t="s">
        <v>20</v>
      </c>
      <c r="C24" s="5">
        <f>C10/C3</f>
        <v>0</v>
      </c>
      <c r="D24" s="5">
        <f>D10/D3</f>
        <v>0</v>
      </c>
      <c r="E24" s="5">
        <f>E10/E3</f>
        <v>0</v>
      </c>
      <c r="F24" s="5">
        <f>F10/F3</f>
        <v>0</v>
      </c>
      <c r="G24" s="5">
        <f>G10/G3</f>
        <v>0</v>
      </c>
    </row>
    <row r="25" spans="2:7">
      <c r="B25" s="1" t="s">
        <v>21</v>
      </c>
      <c r="C25" s="5">
        <f>C18/C3</f>
        <v>0</v>
      </c>
      <c r="D25" s="5">
        <f>D18/D3</f>
        <v>0</v>
      </c>
      <c r="E25" s="5">
        <f>E18/E3</f>
        <v>0</v>
      </c>
      <c r="F25" s="5">
        <f>F18/F3</f>
        <v>0</v>
      </c>
      <c r="G25" s="5">
        <f>G18/G3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F31"/>
  <sheetViews>
    <sheetView workbookViewId="0"/>
  </sheetViews>
  <sheetFormatPr defaultRowHeight="15"/>
  <cols>
    <col min="2" max="2" width="29.7109375" customWidth="1"/>
  </cols>
  <sheetData>
    <row r="2" spans="2:6">
      <c r="C2" s="4">
        <v>2022</v>
      </c>
      <c r="D2" s="4">
        <v>2023</v>
      </c>
      <c r="E2" s="4">
        <v>2024</v>
      </c>
      <c r="F2" s="4">
        <v>2025</v>
      </c>
    </row>
    <row r="3" spans="2:6">
      <c r="B3" s="1" t="s">
        <v>14</v>
      </c>
      <c r="C3" s="3">
        <v>-2722</v>
      </c>
      <c r="D3" s="3">
        <v>30425</v>
      </c>
      <c r="E3" s="3">
        <v>59248</v>
      </c>
      <c r="F3" s="3">
        <v>77670</v>
      </c>
    </row>
    <row r="4" spans="2:6">
      <c r="B4" s="1" t="s">
        <v>27</v>
      </c>
      <c r="C4" s="3">
        <v>41921</v>
      </c>
      <c r="D4" s="3">
        <v>48663</v>
      </c>
      <c r="E4" s="3">
        <v>52795</v>
      </c>
      <c r="F4" s="3">
        <v>65756</v>
      </c>
    </row>
    <row r="5" spans="2:6">
      <c r="B5" s="1" t="s">
        <v>28</v>
      </c>
      <c r="C5" s="3">
        <v>-20886</v>
      </c>
      <c r="D5" s="3">
        <v>-11541</v>
      </c>
      <c r="E5" s="3">
        <v>-15541</v>
      </c>
      <c r="F5" s="3">
        <v>-19969</v>
      </c>
    </row>
    <row r="6" spans="2:6">
      <c r="B6" s="1" t="s">
        <v>29</v>
      </c>
      <c r="C6" s="3">
        <v>28439</v>
      </c>
      <c r="D6" s="3">
        <v>17399</v>
      </c>
      <c r="E6" s="3">
        <v>19375</v>
      </c>
      <c r="F6" s="3">
        <v>16057</v>
      </c>
    </row>
    <row r="7" spans="2:6">
      <c r="B7" s="1" t="s">
        <v>30</v>
      </c>
      <c r="C7" s="3">
        <v>46752</v>
      </c>
      <c r="D7" s="3">
        <v>84946</v>
      </c>
      <c r="E7" s="3">
        <v>115877</v>
      </c>
      <c r="F7" s="3">
        <v>139514</v>
      </c>
    </row>
    <row r="8" spans="2:6">
      <c r="B8" s="1" t="s">
        <v>31</v>
      </c>
      <c r="C8" s="3">
        <v>-8316</v>
      </c>
      <c r="D8" s="3">
        <v>-5839</v>
      </c>
      <c r="E8" s="3">
        <v>-7082</v>
      </c>
      <c r="F8" s="3">
        <v>-3841</v>
      </c>
    </row>
    <row r="9" spans="2:6">
      <c r="B9" s="1" t="s">
        <v>32</v>
      </c>
      <c r="C9" s="3">
        <v>-2565</v>
      </c>
      <c r="D9" s="3">
        <v>-1488</v>
      </c>
      <c r="E9" s="3">
        <v>-26005</v>
      </c>
      <c r="F9" s="3">
        <v>-54770</v>
      </c>
    </row>
    <row r="10" spans="2:6">
      <c r="B10" s="1" t="s">
        <v>33</v>
      </c>
      <c r="C10" s="3">
        <v>31601</v>
      </c>
      <c r="D10" s="3">
        <v>5627</v>
      </c>
      <c r="E10" s="3">
        <v>16403</v>
      </c>
      <c r="F10" s="3">
        <v>44386</v>
      </c>
    </row>
    <row r="11" spans="2:6">
      <c r="B11" s="1" t="s">
        <v>34</v>
      </c>
      <c r="C11" s="3">
        <v>-58321</v>
      </c>
      <c r="D11" s="3">
        <v>-48133</v>
      </c>
      <c r="E11" s="3">
        <v>-77658</v>
      </c>
      <c r="F11" s="3">
        <v>-128320</v>
      </c>
    </row>
    <row r="12" spans="2:6">
      <c r="B12" s="1" t="s">
        <v>35</v>
      </c>
      <c r="C12" s="3">
        <v>-37601</v>
      </c>
      <c r="D12" s="3">
        <v>-49833</v>
      </c>
      <c r="E12" s="3">
        <v>-94342</v>
      </c>
      <c r="F12" s="3">
        <v>-142545</v>
      </c>
    </row>
    <row r="13" spans="2:6">
      <c r="B13" s="1" t="s">
        <v>36</v>
      </c>
      <c r="C13" s="3">
        <v>-47001</v>
      </c>
      <c r="D13" s="3">
        <v>-34008</v>
      </c>
      <c r="E13" s="3">
        <v>-16954</v>
      </c>
      <c r="F13" s="3">
        <v>-15332</v>
      </c>
    </row>
    <row r="14" spans="2:6">
      <c r="B14" s="1" t="s">
        <v>37</v>
      </c>
      <c r="C14" s="3">
        <v>-6000</v>
      </c>
      <c r="D14" s="3">
        <v>0</v>
      </c>
      <c r="E14" s="3">
        <v>0</v>
      </c>
      <c r="F14" s="3">
        <v>0</v>
      </c>
    </row>
    <row r="15" spans="2:6">
      <c r="B15" s="1" t="s">
        <v>38</v>
      </c>
      <c r="C15" s="3">
        <v>0</v>
      </c>
      <c r="D15" s="3">
        <v>0</v>
      </c>
      <c r="E15" s="3">
        <v>0</v>
      </c>
      <c r="F15" s="3">
        <v>0</v>
      </c>
    </row>
    <row r="16" spans="2:6">
      <c r="B16" s="1" t="s">
        <v>39</v>
      </c>
      <c r="C16" s="3">
        <v>0</v>
      </c>
      <c r="D16" s="3">
        <v>0</v>
      </c>
      <c r="E16" s="3">
        <v>0</v>
      </c>
      <c r="F16" s="3">
        <v>0</v>
      </c>
    </row>
    <row r="17" spans="2:6">
      <c r="B17" s="1" t="s">
        <v>40</v>
      </c>
      <c r="C17" s="3">
        <v>62719</v>
      </c>
      <c r="D17" s="3">
        <v>18129</v>
      </c>
      <c r="E17" s="3">
        <v>5142</v>
      </c>
      <c r="F17" s="3">
        <v>24993</v>
      </c>
    </row>
    <row r="18" spans="2:6">
      <c r="B18" s="1" t="s">
        <v>41</v>
      </c>
      <c r="C18" s="3">
        <v>9718</v>
      </c>
      <c r="D18" s="3">
        <v>-15879</v>
      </c>
      <c r="E18" s="3">
        <v>-11812</v>
      </c>
      <c r="F18" s="3">
        <v>9661</v>
      </c>
    </row>
    <row r="19" spans="2:6">
      <c r="B19" s="1" t="s">
        <v>42</v>
      </c>
      <c r="C19" s="3">
        <v>18869</v>
      </c>
      <c r="D19" s="3">
        <v>19234</v>
      </c>
      <c r="E19" s="3">
        <v>9723</v>
      </c>
      <c r="F19" s="3">
        <v>6630</v>
      </c>
    </row>
    <row r="20" spans="2:6">
      <c r="B20" s="1" t="s">
        <v>43</v>
      </c>
      <c r="C20" s="3">
        <v>-1093</v>
      </c>
      <c r="D20" s="3">
        <v>403</v>
      </c>
      <c r="E20" s="3">
        <v>-1301</v>
      </c>
      <c r="F20" s="3">
        <v>1164</v>
      </c>
    </row>
    <row r="21" spans="2:6">
      <c r="B21" s="1" t="s">
        <v>44</v>
      </c>
      <c r="C21" s="3">
        <v>36477</v>
      </c>
      <c r="D21" s="3">
        <v>54253</v>
      </c>
      <c r="E21" s="3">
        <v>73890</v>
      </c>
      <c r="F21" s="3">
        <v>82312</v>
      </c>
    </row>
    <row r="22" spans="2:6">
      <c r="B22" s="1" t="s">
        <v>45</v>
      </c>
      <c r="C22" s="3">
        <v>54253</v>
      </c>
      <c r="D22" s="3">
        <v>73890</v>
      </c>
      <c r="E22" s="3">
        <v>82312</v>
      </c>
      <c r="F22" s="3">
        <v>90106</v>
      </c>
    </row>
    <row r="23" spans="2:6">
      <c r="B23" s="1" t="s">
        <v>46</v>
      </c>
      <c r="C23" s="3">
        <v>46752</v>
      </c>
      <c r="D23" s="3">
        <v>84946</v>
      </c>
      <c r="E23" s="3">
        <v>115877</v>
      </c>
      <c r="F23" s="3">
        <v>139514</v>
      </c>
    </row>
    <row r="24" spans="2:6">
      <c r="B24" s="1" t="s">
        <v>47</v>
      </c>
      <c r="C24" s="3">
        <v>-63645</v>
      </c>
      <c r="D24" s="3">
        <v>-52729</v>
      </c>
      <c r="E24" s="3">
        <v>-82999</v>
      </c>
      <c r="F24" s="3">
        <v>-131819</v>
      </c>
    </row>
    <row r="25" spans="2:6">
      <c r="B25" s="1" t="s">
        <v>48</v>
      </c>
      <c r="C25" s="3">
        <f>C23</f>
        <v>0</v>
      </c>
      <c r="D25" s="3">
        <f>D23</f>
        <v>0</v>
      </c>
      <c r="E25" s="3">
        <f>E23</f>
        <v>0</v>
      </c>
      <c r="F25" s="3">
        <f>F23</f>
        <v>0</v>
      </c>
    </row>
    <row r="26" spans="2:6">
      <c r="B26" s="1"/>
      <c r="C26" s="3"/>
      <c r="D26" s="3"/>
      <c r="E26" s="3"/>
      <c r="F26" s="3"/>
    </row>
    <row r="27" spans="2:6">
      <c r="B27" s="1"/>
      <c r="C27" s="3"/>
      <c r="D27" s="3"/>
      <c r="E27" s="3"/>
      <c r="F27" s="3"/>
    </row>
    <row r="28" spans="2:6">
      <c r="B28" s="1" t="s">
        <v>49</v>
      </c>
      <c r="C28" s="5">
        <v>0</v>
      </c>
      <c r="D28" s="5">
        <v>0.8169</v>
      </c>
      <c r="E28" s="5">
        <v>0.3641</v>
      </c>
      <c r="F28" s="5">
        <v>0.204</v>
      </c>
    </row>
    <row r="29" spans="2:6">
      <c r="B29" s="1" t="s">
        <v>50</v>
      </c>
      <c r="C29" s="5">
        <v>0</v>
      </c>
      <c r="D29" s="5">
        <v>-0.1715</v>
      </c>
      <c r="E29" s="5">
        <v>0.5740999999999999</v>
      </c>
      <c r="F29" s="5">
        <v>0.5882000000000001</v>
      </c>
    </row>
    <row r="30" spans="2:6">
      <c r="B30" s="1" t="s">
        <v>51</v>
      </c>
      <c r="C30" s="5">
        <v>0</v>
      </c>
      <c r="D30" s="5">
        <v>0</v>
      </c>
      <c r="E30" s="5">
        <v>0.0205</v>
      </c>
      <c r="F30" s="5">
        <v>-0.7659999999999999</v>
      </c>
    </row>
    <row r="31" spans="2:6">
      <c r="B31" s="1" t="s">
        <v>52</v>
      </c>
      <c r="C31" s="5">
        <v>-0.3613</v>
      </c>
      <c r="D31" s="5">
        <v>0.3793</v>
      </c>
      <c r="E31" s="5">
        <v>0.2837</v>
      </c>
      <c r="F31" s="5">
        <v>0.0552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G31"/>
  <sheetViews>
    <sheetView workbookViewId="0"/>
  </sheetViews>
  <sheetFormatPr defaultRowHeight="15"/>
  <cols>
    <col min="2" max="2" width="29.7109375" customWidth="1"/>
  </cols>
  <sheetData>
    <row r="2" spans="2:7"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</row>
    <row r="3" spans="2:7">
      <c r="B3" s="1" t="s">
        <v>14</v>
      </c>
      <c r="C3" s="3">
        <v>20004</v>
      </c>
      <c r="D3" s="3">
        <v>17127</v>
      </c>
      <c r="E3" s="3">
        <v>18164</v>
      </c>
      <c r="F3" s="3">
        <v>21187</v>
      </c>
      <c r="G3" s="3">
        <v>21192</v>
      </c>
    </row>
    <row r="4" spans="2:7">
      <c r="B4" s="1" t="s">
        <v>27</v>
      </c>
      <c r="C4" s="3">
        <v>15631</v>
      </c>
      <c r="D4" s="3">
        <v>14262</v>
      </c>
      <c r="E4" s="3">
        <v>15227</v>
      </c>
      <c r="F4" s="3">
        <v>16796</v>
      </c>
      <c r="G4" s="3">
        <v>19471</v>
      </c>
    </row>
    <row r="5" spans="2:7">
      <c r="B5" s="1" t="s">
        <v>28</v>
      </c>
      <c r="C5" s="3">
        <v>7100</v>
      </c>
      <c r="D5" s="3">
        <v>-15753</v>
      </c>
      <c r="E5" s="3">
        <v>-6163</v>
      </c>
      <c r="F5" s="3">
        <v>-7323</v>
      </c>
      <c r="G5" s="3">
        <v>9270</v>
      </c>
    </row>
    <row r="6" spans="2:7">
      <c r="B6" s="1" t="s">
        <v>29</v>
      </c>
      <c r="C6" s="3">
        <v>2901</v>
      </c>
      <c r="D6" s="3">
        <v>1379</v>
      </c>
      <c r="E6" s="3">
        <v>5287</v>
      </c>
      <c r="F6" s="3">
        <v>4865</v>
      </c>
      <c r="G6" s="3">
        <v>4526</v>
      </c>
    </row>
    <row r="7" spans="2:7">
      <c r="B7" s="1" t="s">
        <v>30</v>
      </c>
      <c r="C7" s="3">
        <v>45636</v>
      </c>
      <c r="D7" s="3">
        <v>17015</v>
      </c>
      <c r="E7" s="3">
        <v>32515</v>
      </c>
      <c r="F7" s="3">
        <v>35525</v>
      </c>
      <c r="G7" s="3">
        <v>54459</v>
      </c>
    </row>
    <row r="8" spans="2:7">
      <c r="B8" s="1" t="s">
        <v>31</v>
      </c>
      <c r="C8" s="3">
        <v>-2535</v>
      </c>
      <c r="D8" s="3">
        <v>0</v>
      </c>
      <c r="E8" s="3">
        <v>-1700</v>
      </c>
      <c r="F8" s="3">
        <v>-786</v>
      </c>
      <c r="G8" s="3">
        <v>-1403</v>
      </c>
    </row>
    <row r="9" spans="2:7">
      <c r="B9" s="1" t="s">
        <v>32</v>
      </c>
      <c r="C9" s="3">
        <v>-12533</v>
      </c>
      <c r="D9" s="3">
        <v>-13333</v>
      </c>
      <c r="E9" s="3">
        <v>-17797</v>
      </c>
      <c r="F9" s="3">
        <v>-7426</v>
      </c>
      <c r="G9" s="3">
        <v>-16214</v>
      </c>
    </row>
    <row r="10" spans="2:7">
      <c r="B10" s="1" t="s">
        <v>33</v>
      </c>
      <c r="C10" s="3">
        <v>3677</v>
      </c>
      <c r="D10" s="3">
        <v>7737</v>
      </c>
      <c r="E10" s="3">
        <v>11441</v>
      </c>
      <c r="F10" s="3">
        <v>16367</v>
      </c>
      <c r="G10" s="3">
        <v>8841</v>
      </c>
    </row>
    <row r="11" spans="2:7">
      <c r="B11" s="1" t="s">
        <v>34</v>
      </c>
      <c r="C11" s="3">
        <v>-26052</v>
      </c>
      <c r="D11" s="3">
        <v>-24207</v>
      </c>
      <c r="E11" s="3">
        <v>-31368</v>
      </c>
      <c r="F11" s="3">
        <v>-34228</v>
      </c>
      <c r="G11" s="3">
        <v>-38469</v>
      </c>
    </row>
    <row r="12" spans="2:7">
      <c r="B12" s="1" t="s">
        <v>35</v>
      </c>
      <c r="C12" s="3">
        <v>-37443</v>
      </c>
      <c r="D12" s="3">
        <v>-29803</v>
      </c>
      <c r="E12" s="3">
        <v>-39424</v>
      </c>
      <c r="F12" s="3">
        <v>-26073</v>
      </c>
      <c r="G12" s="3">
        <v>-47245</v>
      </c>
    </row>
    <row r="13" spans="2:7">
      <c r="B13" s="1" t="s">
        <v>36</v>
      </c>
      <c r="C13" s="3">
        <v>-6109</v>
      </c>
      <c r="D13" s="3">
        <v>-2608</v>
      </c>
      <c r="E13" s="3">
        <v>-4632</v>
      </c>
      <c r="F13" s="3">
        <v>-3185</v>
      </c>
      <c r="G13" s="3">
        <v>-5101</v>
      </c>
    </row>
    <row r="14" spans="2:7">
      <c r="B14" s="1" t="s">
        <v>37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2:7">
      <c r="B15" s="1" t="s">
        <v>38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2:7">
      <c r="B16" s="1" t="s">
        <v>39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2:7">
      <c r="B17" s="1" t="s">
        <v>40</v>
      </c>
      <c r="C17" s="3">
        <v>2801</v>
      </c>
      <c r="D17" s="3">
        <v>2561</v>
      </c>
      <c r="E17" s="3">
        <v>2093</v>
      </c>
      <c r="F17" s="3">
        <v>3141</v>
      </c>
      <c r="G17" s="3">
        <v>17392</v>
      </c>
    </row>
    <row r="18" spans="2:7">
      <c r="B18" s="1" t="s">
        <v>41</v>
      </c>
      <c r="C18" s="3">
        <v>-3308</v>
      </c>
      <c r="D18" s="3">
        <v>-47</v>
      </c>
      <c r="E18" s="3">
        <v>-2539</v>
      </c>
      <c r="F18" s="3">
        <v>-44</v>
      </c>
      <c r="G18" s="3">
        <v>12291</v>
      </c>
    </row>
    <row r="19" spans="2:7">
      <c r="B19" s="1" t="s">
        <v>42</v>
      </c>
      <c r="C19" s="3">
        <v>4885</v>
      </c>
      <c r="D19" s="3">
        <v>-12835</v>
      </c>
      <c r="E19" s="3">
        <v>-9448</v>
      </c>
      <c r="F19" s="3">
        <v>9408</v>
      </c>
      <c r="G19" s="3">
        <v>19505</v>
      </c>
    </row>
    <row r="20" spans="2:7">
      <c r="B20" s="1" t="s">
        <v>43</v>
      </c>
      <c r="C20" s="3">
        <v>-1250</v>
      </c>
      <c r="D20" s="3">
        <v>416</v>
      </c>
      <c r="E20" s="3">
        <v>1008</v>
      </c>
      <c r="F20" s="3">
        <v>-397</v>
      </c>
      <c r="G20" s="3">
        <v>137</v>
      </c>
    </row>
    <row r="21" spans="2:7">
      <c r="B21" s="1" t="s">
        <v>44</v>
      </c>
      <c r="C21" s="3">
        <v>78677</v>
      </c>
      <c r="D21" s="3">
        <v>82312</v>
      </c>
      <c r="E21" s="3">
        <v>69893</v>
      </c>
      <c r="F21" s="3">
        <v>61453</v>
      </c>
      <c r="G21" s="3">
        <v>70464</v>
      </c>
    </row>
    <row r="22" spans="2:7">
      <c r="B22" s="1" t="s">
        <v>45</v>
      </c>
      <c r="C22" s="3">
        <v>82312</v>
      </c>
      <c r="D22" s="3">
        <v>69893</v>
      </c>
      <c r="E22" s="3">
        <v>61453</v>
      </c>
      <c r="F22" s="3">
        <v>70464</v>
      </c>
      <c r="G22" s="3">
        <v>90106</v>
      </c>
    </row>
    <row r="23" spans="2:7">
      <c r="B23" s="1" t="s">
        <v>46</v>
      </c>
      <c r="C23" s="3">
        <v>45636</v>
      </c>
      <c r="D23" s="3">
        <v>17015</v>
      </c>
      <c r="E23" s="3">
        <v>32515</v>
      </c>
      <c r="F23" s="3">
        <v>35525</v>
      </c>
      <c r="G23" s="3">
        <v>54459</v>
      </c>
    </row>
    <row r="24" spans="2:7">
      <c r="B24" s="1" t="s">
        <v>47</v>
      </c>
      <c r="C24" s="3">
        <v>-27834</v>
      </c>
      <c r="D24" s="3">
        <v>-25019</v>
      </c>
      <c r="E24" s="3">
        <v>-32183</v>
      </c>
      <c r="F24" s="3">
        <v>-35095</v>
      </c>
      <c r="G24" s="3">
        <v>-39522</v>
      </c>
    </row>
    <row r="25" spans="2:7">
      <c r="B25" s="1" t="s">
        <v>48</v>
      </c>
      <c r="C25" s="3">
        <f>C23</f>
        <v>0</v>
      </c>
      <c r="D25" s="3">
        <f>D23</f>
        <v>0</v>
      </c>
      <c r="E25" s="3">
        <f>E23</f>
        <v>0</v>
      </c>
      <c r="F25" s="3">
        <f>F23</f>
        <v>0</v>
      </c>
      <c r="G25" s="3">
        <f>G23</f>
        <v>0</v>
      </c>
    </row>
    <row r="26" spans="2:7">
      <c r="B26" s="1"/>
      <c r="C26" s="3"/>
      <c r="D26" s="3"/>
      <c r="E26" s="3"/>
      <c r="F26" s="3"/>
      <c r="G26" s="3"/>
    </row>
    <row r="27" spans="2:7">
      <c r="B27" s="1"/>
      <c r="C27" s="3"/>
      <c r="D27" s="3"/>
      <c r="E27" s="3"/>
      <c r="F27" s="3"/>
      <c r="G27" s="3"/>
    </row>
    <row r="28" spans="2:7">
      <c r="B28" s="1" t="s">
        <v>49</v>
      </c>
      <c r="C28" s="5">
        <v>0</v>
      </c>
      <c r="D28" s="5">
        <v>-0.6272</v>
      </c>
      <c r="E28" s="5">
        <v>0.9109999999999999</v>
      </c>
      <c r="F28" s="5">
        <v>0.0926</v>
      </c>
      <c r="G28" s="5">
        <v>0.5329999999999999</v>
      </c>
    </row>
    <row r="29" spans="2:7">
      <c r="B29" s="1" t="s">
        <v>50</v>
      </c>
      <c r="C29" s="5">
        <v>0</v>
      </c>
      <c r="D29" s="5">
        <v>-0.1011</v>
      </c>
      <c r="E29" s="5">
        <v>0.2863</v>
      </c>
      <c r="F29" s="5">
        <v>0.09050000000000001</v>
      </c>
      <c r="G29" s="5">
        <v>0.1261</v>
      </c>
    </row>
    <row r="30" spans="2:7">
      <c r="B30" s="1" t="s">
        <v>51</v>
      </c>
      <c r="C30" s="5">
        <v>0</v>
      </c>
      <c r="D30" s="5">
        <v>0</v>
      </c>
      <c r="E30" s="5">
        <v>0</v>
      </c>
      <c r="F30" s="5">
        <v>0.2952</v>
      </c>
      <c r="G30" s="5">
        <v>33.7372</v>
      </c>
    </row>
    <row r="31" spans="2:7">
      <c r="B31" s="1" t="s">
        <v>52</v>
      </c>
      <c r="C31" s="5">
        <v>0.3901</v>
      </c>
      <c r="D31" s="5">
        <v>-0.4704</v>
      </c>
      <c r="E31" s="5">
        <v>0.0102</v>
      </c>
      <c r="F31" s="5">
        <v>0.0121</v>
      </c>
      <c r="G31" s="5">
        <v>0.2743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F40"/>
  <sheetViews>
    <sheetView workbookViewId="0"/>
  </sheetViews>
  <sheetFormatPr defaultRowHeight="15"/>
  <cols>
    <col min="2" max="2" width="28.7109375" customWidth="1"/>
  </cols>
  <sheetData>
    <row r="2" spans="2:6">
      <c r="C2" s="4">
        <v>2022</v>
      </c>
      <c r="D2" s="4">
        <v>2023</v>
      </c>
      <c r="E2" s="4">
        <v>2024</v>
      </c>
      <c r="F2" s="4">
        <v>2025</v>
      </c>
    </row>
    <row r="3" spans="2:6">
      <c r="B3" s="1" t="s">
        <v>53</v>
      </c>
      <c r="C3" s="3">
        <v>70026</v>
      </c>
      <c r="D3" s="3">
        <v>86780</v>
      </c>
      <c r="E3" s="3">
        <v>101202</v>
      </c>
      <c r="F3" s="3">
        <v>123029</v>
      </c>
    </row>
    <row r="4" spans="2:6">
      <c r="B4" s="1" t="s">
        <v>54</v>
      </c>
      <c r="C4" s="3">
        <v>42360</v>
      </c>
      <c r="D4" s="3">
        <v>52253</v>
      </c>
      <c r="E4" s="3">
        <v>55451</v>
      </c>
      <c r="F4" s="3">
        <v>67729</v>
      </c>
    </row>
    <row r="5" spans="2:6">
      <c r="B5" s="1" t="s">
        <v>55</v>
      </c>
      <c r="C5" s="3">
        <v>34405</v>
      </c>
      <c r="D5" s="3">
        <v>33318</v>
      </c>
      <c r="E5" s="3">
        <v>34214</v>
      </c>
      <c r="F5" s="3">
        <v>38325</v>
      </c>
    </row>
    <row r="6" spans="2:6">
      <c r="B6" s="1" t="s">
        <v>56</v>
      </c>
      <c r="C6" s="3">
        <v>0</v>
      </c>
      <c r="D6" s="3">
        <v>0</v>
      </c>
      <c r="E6" s="3">
        <v>0</v>
      </c>
      <c r="F6" s="3">
        <v>0</v>
      </c>
    </row>
    <row r="7" spans="2:6">
      <c r="B7" s="1" t="s">
        <v>57</v>
      </c>
      <c r="C7" s="3">
        <v>146791</v>
      </c>
      <c r="D7" s="3">
        <v>172351</v>
      </c>
      <c r="E7" s="3">
        <v>190867</v>
      </c>
      <c r="F7" s="3">
        <v>229083</v>
      </c>
    </row>
    <row r="8" spans="2:6">
      <c r="B8" s="1" t="s">
        <v>58</v>
      </c>
      <c r="C8" s="3">
        <v>252838</v>
      </c>
      <c r="D8" s="3">
        <v>276690</v>
      </c>
      <c r="E8" s="3">
        <v>328806</v>
      </c>
      <c r="F8" s="3">
        <v>443079</v>
      </c>
    </row>
    <row r="9" spans="2:6">
      <c r="B9" s="1" t="s">
        <v>59</v>
      </c>
      <c r="C9" s="3">
        <v>20288</v>
      </c>
      <c r="D9" s="3">
        <v>22789</v>
      </c>
      <c r="E9" s="3">
        <v>23074</v>
      </c>
      <c r="F9" s="3">
        <v>23273</v>
      </c>
    </row>
    <row r="10" spans="2:6">
      <c r="B10" s="1" t="s">
        <v>60</v>
      </c>
      <c r="C10" s="3">
        <v>42758</v>
      </c>
      <c r="D10" s="3">
        <v>56024</v>
      </c>
      <c r="E10" s="3">
        <v>82147</v>
      </c>
      <c r="F10" s="3">
        <v>122607</v>
      </c>
    </row>
    <row r="11" spans="2:6">
      <c r="B11" s="1" t="s">
        <v>61</v>
      </c>
      <c r="C11" s="3">
        <v>315884</v>
      </c>
      <c r="D11" s="3">
        <v>355503</v>
      </c>
      <c r="E11" s="3">
        <v>434027</v>
      </c>
      <c r="F11" s="3">
        <v>588959</v>
      </c>
    </row>
    <row r="12" spans="2:6">
      <c r="B12" s="1" t="s">
        <v>62</v>
      </c>
      <c r="C12" s="3">
        <f>C7+C11</f>
        <v>0</v>
      </c>
      <c r="D12" s="3">
        <f>D7+D11</f>
        <v>0</v>
      </c>
      <c r="E12" s="3">
        <f>E7+E11</f>
        <v>0</v>
      </c>
      <c r="F12" s="3">
        <f>F7+F11</f>
        <v>0</v>
      </c>
    </row>
    <row r="13" spans="2:6">
      <c r="B13" s="1" t="s">
        <v>63</v>
      </c>
      <c r="C13" s="3">
        <v>79600</v>
      </c>
      <c r="D13" s="3">
        <v>84981</v>
      </c>
      <c r="E13" s="3">
        <v>94363</v>
      </c>
      <c r="F13" s="3">
        <v>121909</v>
      </c>
    </row>
    <row r="14" spans="2:6">
      <c r="B14" s="1" t="s">
        <v>64</v>
      </c>
      <c r="C14" s="3">
        <v>0</v>
      </c>
      <c r="D14" s="3">
        <v>0</v>
      </c>
      <c r="E14" s="3">
        <v>0</v>
      </c>
      <c r="F14" s="3">
        <v>0</v>
      </c>
    </row>
    <row r="15" spans="2:6">
      <c r="B15" s="1" t="s">
        <v>65</v>
      </c>
      <c r="C15" s="3">
        <v>75793</v>
      </c>
      <c r="D15" s="3">
        <v>79936</v>
      </c>
      <c r="E15" s="3">
        <v>85068</v>
      </c>
      <c r="F15" s="3">
        <v>96096</v>
      </c>
    </row>
    <row r="16" spans="2:6">
      <c r="B16" s="1" t="s">
        <v>66</v>
      </c>
      <c r="C16" s="3">
        <v>155393</v>
      </c>
      <c r="D16" s="3">
        <v>164917</v>
      </c>
      <c r="E16" s="3">
        <v>179431</v>
      </c>
      <c r="F16" s="3">
        <v>218005</v>
      </c>
    </row>
    <row r="17" spans="2:6">
      <c r="B17" s="1" t="s">
        <v>67</v>
      </c>
      <c r="C17" s="3">
        <v>140118</v>
      </c>
      <c r="D17" s="3">
        <v>135611</v>
      </c>
      <c r="E17" s="3">
        <v>130900</v>
      </c>
      <c r="F17" s="3">
        <v>152987</v>
      </c>
    </row>
    <row r="18" spans="2:6">
      <c r="B18" s="1" t="s">
        <v>68</v>
      </c>
      <c r="C18" s="3">
        <v>21121</v>
      </c>
      <c r="D18" s="3">
        <v>25451</v>
      </c>
      <c r="E18" s="3">
        <v>28593</v>
      </c>
      <c r="F18" s="3">
        <v>35985</v>
      </c>
    </row>
    <row r="19" spans="2:6">
      <c r="B19" s="1" t="s">
        <v>69</v>
      </c>
      <c r="C19" s="3">
        <v>161239</v>
      </c>
      <c r="D19" s="3">
        <v>161062</v>
      </c>
      <c r="E19" s="3">
        <v>159493</v>
      </c>
      <c r="F19" s="3">
        <v>188972</v>
      </c>
    </row>
    <row r="20" spans="2:6">
      <c r="B20" s="1" t="s">
        <v>70</v>
      </c>
      <c r="C20" s="3">
        <f>C16+C19</f>
        <v>0</v>
      </c>
      <c r="D20" s="3">
        <f>D16+D19</f>
        <v>0</v>
      </c>
      <c r="E20" s="3">
        <f>E16+E19</f>
        <v>0</v>
      </c>
      <c r="F20" s="3">
        <f>F16+F19</f>
        <v>0</v>
      </c>
    </row>
    <row r="21" spans="2:6">
      <c r="B21" s="1" t="s">
        <v>71</v>
      </c>
      <c r="C21" s="3">
        <v>75066</v>
      </c>
      <c r="D21" s="3">
        <v>99025</v>
      </c>
      <c r="E21" s="3">
        <v>120864</v>
      </c>
      <c r="F21" s="3">
        <v>140024</v>
      </c>
    </row>
    <row r="22" spans="2:6">
      <c r="B22" s="1" t="s">
        <v>72</v>
      </c>
      <c r="C22" s="3">
        <v>83193</v>
      </c>
      <c r="D22" s="3">
        <v>113618</v>
      </c>
      <c r="E22" s="3">
        <v>172866</v>
      </c>
      <c r="F22" s="3">
        <v>250536</v>
      </c>
    </row>
    <row r="23" spans="2:6">
      <c r="B23" s="1" t="s">
        <v>73</v>
      </c>
      <c r="C23" s="3">
        <v>-12216</v>
      </c>
      <c r="D23" s="3">
        <v>-10768</v>
      </c>
      <c r="E23" s="3">
        <v>-7760</v>
      </c>
      <c r="F23" s="3">
        <v>20505</v>
      </c>
    </row>
    <row r="24" spans="2:6">
      <c r="B24" s="1" t="s">
        <v>74</v>
      </c>
      <c r="C24" s="3">
        <v>146043</v>
      </c>
      <c r="D24" s="3">
        <v>201875</v>
      </c>
      <c r="E24" s="3">
        <v>285970</v>
      </c>
      <c r="F24" s="3">
        <v>411065</v>
      </c>
    </row>
    <row r="25" spans="2:6">
      <c r="B25" s="1" t="s">
        <v>75</v>
      </c>
      <c r="C25" s="3">
        <v>0</v>
      </c>
      <c r="D25" s="3">
        <v>0</v>
      </c>
      <c r="E25" s="3">
        <v>0</v>
      </c>
      <c r="F25" s="3">
        <v>0</v>
      </c>
    </row>
    <row r="26" spans="2:6">
      <c r="B26" s="1" t="s">
        <v>76</v>
      </c>
      <c r="C26" s="3">
        <f>C12+C20</f>
        <v>0</v>
      </c>
      <c r="D26" s="3">
        <f>D12+D20</f>
        <v>0</v>
      </c>
      <c r="E26" s="3">
        <f>E12+E20</f>
        <v>0</v>
      </c>
      <c r="F26" s="3">
        <f>F12+F20</f>
        <v>0</v>
      </c>
    </row>
    <row r="27" spans="2:6">
      <c r="B27" s="1" t="s">
        <v>77</v>
      </c>
      <c r="C27" s="3">
        <v>146043</v>
      </c>
      <c r="D27" s="3">
        <v>201875</v>
      </c>
      <c r="E27" s="3">
        <v>285970</v>
      </c>
      <c r="F27" s="3">
        <v>411065</v>
      </c>
    </row>
    <row r="28" spans="2:6">
      <c r="B28" s="1" t="s">
        <v>78</v>
      </c>
      <c r="C28" s="3">
        <v>140118</v>
      </c>
      <c r="D28" s="3">
        <v>135611</v>
      </c>
      <c r="E28" s="3">
        <v>130900</v>
      </c>
      <c r="F28" s="3">
        <v>152987</v>
      </c>
    </row>
    <row r="29" spans="2:6">
      <c r="B29" s="1" t="s">
        <v>79</v>
      </c>
      <c r="C29" s="3">
        <v>70092</v>
      </c>
      <c r="D29" s="3">
        <v>48831</v>
      </c>
      <c r="E29" s="3">
        <v>29698</v>
      </c>
      <c r="F29" s="3">
        <v>29958</v>
      </c>
    </row>
    <row r="30" spans="2:6">
      <c r="B30" s="1" t="s">
        <v>80</v>
      </c>
      <c r="C30" s="3">
        <v>287243</v>
      </c>
      <c r="D30" s="3">
        <v>310008</v>
      </c>
      <c r="E30" s="3">
        <v>363020</v>
      </c>
      <c r="F30" s="3">
        <v>481404</v>
      </c>
    </row>
    <row r="31" spans="2:6">
      <c r="B31" s="1" t="s">
        <v>81</v>
      </c>
      <c r="C31" s="3">
        <v>159305</v>
      </c>
      <c r="D31" s="3">
        <v>201875</v>
      </c>
      <c r="E31" s="3">
        <v>285970</v>
      </c>
      <c r="F31" s="3">
        <v>411065</v>
      </c>
    </row>
    <row r="32" spans="2:6">
      <c r="B32" s="1" t="s">
        <v>82</v>
      </c>
      <c r="C32" s="3">
        <v>-169841</v>
      </c>
      <c r="D32" s="3">
        <v>-153628</v>
      </c>
      <c r="E32" s="3">
        <v>-148057</v>
      </c>
      <c r="F32" s="3">
        <v>-177894</v>
      </c>
    </row>
    <row r="33" spans="2:6">
      <c r="B33" s="1" t="s">
        <v>83</v>
      </c>
      <c r="C33" s="3">
        <v>10242</v>
      </c>
      <c r="D33" s="3">
        <v>10383</v>
      </c>
      <c r="E33" s="3">
        <v>10593</v>
      </c>
      <c r="F33" s="3">
        <v>10731</v>
      </c>
    </row>
    <row r="34" spans="2:6">
      <c r="B34" s="1"/>
      <c r="C34" s="3"/>
      <c r="D34" s="3"/>
      <c r="E34" s="3"/>
      <c r="F34" s="3"/>
    </row>
    <row r="35" spans="2:6">
      <c r="B35" s="1"/>
      <c r="C35" s="3"/>
      <c r="D35" s="3"/>
      <c r="E35" s="3"/>
      <c r="F35" s="3"/>
    </row>
    <row r="36" spans="2:6">
      <c r="B36" s="1" t="s">
        <v>84</v>
      </c>
      <c r="C36" s="5">
        <v>0.9594</v>
      </c>
      <c r="D36" s="5">
        <v>0.6718000000000001</v>
      </c>
      <c r="E36" s="5">
        <v>0.4577000000000001</v>
      </c>
      <c r="F36" s="5">
        <v>0.3722</v>
      </c>
    </row>
    <row r="37" spans="2:6">
      <c r="B37" s="1" t="s">
        <v>85</v>
      </c>
      <c r="C37" s="5">
        <v>0</v>
      </c>
      <c r="D37" s="5">
        <v>0.1409</v>
      </c>
      <c r="E37" s="5">
        <v>0.1838</v>
      </c>
      <c r="F37" s="5">
        <v>0.3091</v>
      </c>
    </row>
    <row r="38" spans="2:6">
      <c r="B38" s="1" t="s">
        <v>86</v>
      </c>
      <c r="C38" s="5">
        <v>0</v>
      </c>
      <c r="D38" s="5">
        <v>0.0793</v>
      </c>
      <c r="E38" s="5">
        <v>0.171</v>
      </c>
      <c r="F38" s="5">
        <v>0.3261</v>
      </c>
    </row>
    <row r="39" spans="2:6">
      <c r="B39" s="1" t="s">
        <v>87</v>
      </c>
      <c r="C39" s="5">
        <v>0</v>
      </c>
      <c r="D39" s="5">
        <v>0.3823</v>
      </c>
      <c r="E39" s="5">
        <v>0.4166</v>
      </c>
      <c r="F39" s="5">
        <v>0.4374</v>
      </c>
    </row>
    <row r="40" spans="2:6">
      <c r="B40" s="1" t="s">
        <v>88</v>
      </c>
      <c r="C40" s="5">
        <v>0</v>
      </c>
      <c r="D40" s="5">
        <v>0.2672</v>
      </c>
      <c r="E40" s="5">
        <v>0.4166</v>
      </c>
      <c r="F40" s="5">
        <v>0.4374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G40"/>
  <sheetViews>
    <sheetView workbookViewId="0"/>
  </sheetViews>
  <sheetFormatPr defaultRowHeight="15"/>
  <cols>
    <col min="2" max="2" width="28.7109375" customWidth="1"/>
  </cols>
  <sheetData>
    <row r="2" spans="2:7"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</row>
    <row r="3" spans="2:7">
      <c r="B3" s="1" t="s">
        <v>53</v>
      </c>
      <c r="C3" s="3">
        <v>101202</v>
      </c>
      <c r="D3" s="3">
        <v>94565</v>
      </c>
      <c r="E3" s="3">
        <v>93180</v>
      </c>
      <c r="F3" s="3">
        <v>94197</v>
      </c>
      <c r="G3" s="3">
        <v>123029</v>
      </c>
    </row>
    <row r="4" spans="2:7">
      <c r="B4" s="1" t="s">
        <v>54</v>
      </c>
      <c r="C4" s="3">
        <v>55451</v>
      </c>
      <c r="D4" s="3">
        <v>54216</v>
      </c>
      <c r="E4" s="3">
        <v>57415</v>
      </c>
      <c r="F4" s="3">
        <v>61175</v>
      </c>
      <c r="G4" s="3">
        <v>67729</v>
      </c>
    </row>
    <row r="5" spans="2:7">
      <c r="B5" s="1" t="s">
        <v>55</v>
      </c>
      <c r="C5" s="3">
        <v>34214</v>
      </c>
      <c r="D5" s="3">
        <v>35864</v>
      </c>
      <c r="E5" s="3">
        <v>40825</v>
      </c>
      <c r="F5" s="3">
        <v>41494</v>
      </c>
      <c r="G5" s="3">
        <v>38325</v>
      </c>
    </row>
    <row r="6" spans="2:7">
      <c r="B6" s="1" t="s">
        <v>56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2:7">
      <c r="B7" s="1" t="s">
        <v>57</v>
      </c>
      <c r="C7" s="3">
        <v>190867</v>
      </c>
      <c r="D7" s="3">
        <v>184645</v>
      </c>
      <c r="E7" s="3">
        <v>191420</v>
      </c>
      <c r="F7" s="3">
        <v>196866</v>
      </c>
      <c r="G7" s="3">
        <v>229083</v>
      </c>
    </row>
    <row r="8" spans="2:7">
      <c r="B8" s="1" t="s">
        <v>58</v>
      </c>
      <c r="C8" s="3">
        <v>328806</v>
      </c>
      <c r="D8" s="3">
        <v>351276</v>
      </c>
      <c r="E8" s="3">
        <v>379741</v>
      </c>
      <c r="F8" s="3">
        <v>407891</v>
      </c>
      <c r="G8" s="3">
        <v>443079</v>
      </c>
    </row>
    <row r="9" spans="2:7">
      <c r="B9" s="1" t="s">
        <v>59</v>
      </c>
      <c r="C9" s="3">
        <v>23074</v>
      </c>
      <c r="D9" s="3">
        <v>23089</v>
      </c>
      <c r="E9" s="3">
        <v>23155</v>
      </c>
      <c r="F9" s="3">
        <v>23260</v>
      </c>
      <c r="G9" s="3">
        <v>23273</v>
      </c>
    </row>
    <row r="10" spans="2:7">
      <c r="B10" s="1" t="s">
        <v>60</v>
      </c>
      <c r="C10" s="3">
        <v>82147</v>
      </c>
      <c r="D10" s="3">
        <v>84246</v>
      </c>
      <c r="E10" s="3">
        <v>87854</v>
      </c>
      <c r="F10" s="3">
        <v>99904</v>
      </c>
      <c r="G10" s="3">
        <v>122607</v>
      </c>
    </row>
    <row r="11" spans="2:7">
      <c r="B11" s="1" t="s">
        <v>61</v>
      </c>
      <c r="C11" s="3">
        <v>434027</v>
      </c>
      <c r="D11" s="3">
        <v>458611</v>
      </c>
      <c r="E11" s="3">
        <v>490750</v>
      </c>
      <c r="F11" s="3">
        <v>531055</v>
      </c>
      <c r="G11" s="3">
        <v>588959</v>
      </c>
    </row>
    <row r="12" spans="2:7">
      <c r="B12" s="1" t="s">
        <v>62</v>
      </c>
      <c r="C12" s="3">
        <f>C7+C11</f>
        <v>0</v>
      </c>
      <c r="D12" s="3">
        <f>D7+D11</f>
        <v>0</v>
      </c>
      <c r="E12" s="3">
        <f>E7+E11</f>
        <v>0</v>
      </c>
      <c r="F12" s="3">
        <f>F7+F11</f>
        <v>0</v>
      </c>
      <c r="G12" s="3">
        <f>G7+G11</f>
        <v>0</v>
      </c>
    </row>
    <row r="13" spans="2:7">
      <c r="B13" s="1" t="s">
        <v>63</v>
      </c>
      <c r="C13" s="3">
        <v>94363</v>
      </c>
      <c r="D13" s="3">
        <v>89241</v>
      </c>
      <c r="E13" s="3">
        <v>98285</v>
      </c>
      <c r="F13" s="3">
        <v>106032</v>
      </c>
      <c r="G13" s="3">
        <v>121909</v>
      </c>
    </row>
    <row r="14" spans="2:7">
      <c r="B14" s="1" t="s">
        <v>64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2:7">
      <c r="B15" s="1" t="s">
        <v>65</v>
      </c>
      <c r="C15" s="3">
        <v>85068</v>
      </c>
      <c r="D15" s="3">
        <v>86930</v>
      </c>
      <c r="E15" s="3">
        <v>88636</v>
      </c>
      <c r="F15" s="3">
        <v>89164</v>
      </c>
      <c r="G15" s="3">
        <v>96096</v>
      </c>
    </row>
    <row r="16" spans="2:7">
      <c r="B16" s="1" t="s">
        <v>66</v>
      </c>
      <c r="C16" s="3">
        <v>179431</v>
      </c>
      <c r="D16" s="3">
        <v>176171</v>
      </c>
      <c r="E16" s="3">
        <v>186921</v>
      </c>
      <c r="F16" s="3">
        <v>195196</v>
      </c>
      <c r="G16" s="3">
        <v>218005</v>
      </c>
    </row>
    <row r="17" spans="2:7">
      <c r="B17" s="1" t="s">
        <v>67</v>
      </c>
      <c r="C17" s="3">
        <v>130900</v>
      </c>
      <c r="D17" s="3">
        <v>133245</v>
      </c>
      <c r="E17" s="3">
        <v>133939</v>
      </c>
      <c r="F17" s="3">
        <v>135419</v>
      </c>
      <c r="G17" s="3">
        <v>152987</v>
      </c>
    </row>
    <row r="18" spans="2:7">
      <c r="B18" s="1" t="s">
        <v>68</v>
      </c>
      <c r="C18" s="3">
        <v>28593</v>
      </c>
      <c r="D18" s="3">
        <v>27973</v>
      </c>
      <c r="E18" s="3">
        <v>27535</v>
      </c>
      <c r="F18" s="3">
        <v>27675</v>
      </c>
      <c r="G18" s="3">
        <v>35985</v>
      </c>
    </row>
    <row r="19" spans="2:7">
      <c r="B19" s="1" t="s">
        <v>69</v>
      </c>
      <c r="C19" s="3">
        <v>159493</v>
      </c>
      <c r="D19" s="3">
        <v>161218</v>
      </c>
      <c r="E19" s="3">
        <v>161474</v>
      </c>
      <c r="F19" s="3">
        <v>163094</v>
      </c>
      <c r="G19" s="3">
        <v>188972</v>
      </c>
    </row>
    <row r="20" spans="2:7">
      <c r="B20" s="1" t="s">
        <v>70</v>
      </c>
      <c r="C20" s="3">
        <f>C16+C19</f>
        <v>0</v>
      </c>
      <c r="D20" s="3">
        <f>D16+D19</f>
        <v>0</v>
      </c>
      <c r="E20" s="3">
        <f>E16+E19</f>
        <v>0</v>
      </c>
      <c r="F20" s="3">
        <f>F16+F19</f>
        <v>0</v>
      </c>
      <c r="G20" s="3">
        <f>G16+G19</f>
        <v>0</v>
      </c>
    </row>
    <row r="21" spans="2:7">
      <c r="B21" s="1" t="s">
        <v>71</v>
      </c>
      <c r="C21" s="3">
        <v>120864</v>
      </c>
      <c r="D21" s="3">
        <v>124514</v>
      </c>
      <c r="E21" s="3">
        <v>130923</v>
      </c>
      <c r="F21" s="3">
        <v>135679</v>
      </c>
      <c r="G21" s="3">
        <v>140024</v>
      </c>
    </row>
    <row r="22" spans="2:7">
      <c r="B22" s="1" t="s">
        <v>72</v>
      </c>
      <c r="C22" s="3">
        <v>172866</v>
      </c>
      <c r="D22" s="3">
        <v>189993</v>
      </c>
      <c r="E22" s="3">
        <v>208157</v>
      </c>
      <c r="F22" s="3">
        <v>229344</v>
      </c>
      <c r="G22" s="3">
        <v>250536</v>
      </c>
    </row>
    <row r="23" spans="2:7">
      <c r="B23" s="1" t="s">
        <v>73</v>
      </c>
      <c r="C23" s="3">
        <v>-7760</v>
      </c>
      <c r="D23" s="3">
        <v>-8640</v>
      </c>
      <c r="E23" s="3">
        <v>-5305</v>
      </c>
      <c r="F23" s="3">
        <v>4608</v>
      </c>
      <c r="G23" s="3">
        <v>20505</v>
      </c>
    </row>
    <row r="24" spans="2:7">
      <c r="B24" s="1" t="s">
        <v>74</v>
      </c>
      <c r="C24" s="3">
        <v>285970</v>
      </c>
      <c r="D24" s="3">
        <v>305867</v>
      </c>
      <c r="E24" s="3">
        <v>333775</v>
      </c>
      <c r="F24" s="3">
        <v>369631</v>
      </c>
      <c r="G24" s="3">
        <v>411065</v>
      </c>
    </row>
    <row r="25" spans="2:7">
      <c r="B25" s="1" t="s">
        <v>75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</row>
    <row r="26" spans="2:7">
      <c r="B26" s="1" t="s">
        <v>76</v>
      </c>
      <c r="C26" s="3">
        <f>C12+C20</f>
        <v>0</v>
      </c>
      <c r="D26" s="3">
        <f>D12+D20</f>
        <v>0</v>
      </c>
      <c r="E26" s="3">
        <f>E12+E20</f>
        <v>0</v>
      </c>
      <c r="F26" s="3">
        <f>F12+F20</f>
        <v>0</v>
      </c>
      <c r="G26" s="3">
        <f>G12+G20</f>
        <v>0</v>
      </c>
    </row>
    <row r="27" spans="2:7">
      <c r="B27" s="1" t="s">
        <v>77</v>
      </c>
      <c r="C27" s="3">
        <v>285970</v>
      </c>
      <c r="D27" s="3">
        <v>305867</v>
      </c>
      <c r="E27" s="3">
        <v>333775</v>
      </c>
      <c r="F27" s="3">
        <v>369631</v>
      </c>
      <c r="G27" s="3">
        <v>411065</v>
      </c>
    </row>
    <row r="28" spans="2:7">
      <c r="B28" s="1" t="s">
        <v>78</v>
      </c>
      <c r="C28" s="3">
        <v>130900</v>
      </c>
      <c r="D28" s="3">
        <v>133245</v>
      </c>
      <c r="E28" s="3">
        <v>133939</v>
      </c>
      <c r="F28" s="3">
        <v>135419</v>
      </c>
      <c r="G28" s="3">
        <v>152987</v>
      </c>
    </row>
    <row r="29" spans="2:7">
      <c r="B29" s="1" t="s">
        <v>79</v>
      </c>
      <c r="C29" s="3">
        <v>29698</v>
      </c>
      <c r="D29" s="3">
        <v>38680</v>
      </c>
      <c r="E29" s="3">
        <v>40759</v>
      </c>
      <c r="F29" s="3">
        <v>41222</v>
      </c>
      <c r="G29" s="3">
        <v>29958</v>
      </c>
    </row>
    <row r="30" spans="2:7">
      <c r="B30" s="1" t="s">
        <v>80</v>
      </c>
      <c r="C30" s="3">
        <v>363020</v>
      </c>
      <c r="D30" s="3">
        <v>387140</v>
      </c>
      <c r="E30" s="3">
        <v>420566</v>
      </c>
      <c r="F30" s="3">
        <v>449385</v>
      </c>
      <c r="G30" s="3">
        <v>481404</v>
      </c>
    </row>
    <row r="31" spans="2:7">
      <c r="B31" s="1" t="s">
        <v>81</v>
      </c>
      <c r="C31" s="3">
        <v>285970</v>
      </c>
      <c r="D31" s="3">
        <v>305867</v>
      </c>
      <c r="E31" s="3">
        <v>333775</v>
      </c>
      <c r="F31" s="3">
        <v>369631</v>
      </c>
      <c r="G31" s="3">
        <v>411065</v>
      </c>
    </row>
    <row r="32" spans="2:7">
      <c r="B32" s="1" t="s">
        <v>82</v>
      </c>
      <c r="C32" s="3">
        <v>-148057</v>
      </c>
      <c r="D32" s="3">
        <v>-152744</v>
      </c>
      <c r="E32" s="3">
        <v>-156975</v>
      </c>
      <c r="F32" s="3">
        <v>-161424</v>
      </c>
      <c r="G32" s="3">
        <v>-177894</v>
      </c>
    </row>
    <row r="33" spans="2:7">
      <c r="B33" s="1" t="s">
        <v>83</v>
      </c>
      <c r="C33" s="3">
        <v>10593</v>
      </c>
      <c r="D33" s="3">
        <v>10613</v>
      </c>
      <c r="E33" s="3">
        <v>10660</v>
      </c>
      <c r="F33" s="3">
        <v>10687</v>
      </c>
      <c r="G33" s="3">
        <v>10731</v>
      </c>
    </row>
    <row r="34" spans="2:7">
      <c r="B34" s="1"/>
      <c r="C34" s="3"/>
      <c r="D34" s="3"/>
      <c r="E34" s="3"/>
      <c r="F34" s="3"/>
      <c r="G34" s="3"/>
    </row>
    <row r="35" spans="2:7">
      <c r="B35" s="1"/>
      <c r="C35" s="3"/>
      <c r="D35" s="3"/>
      <c r="E35" s="3"/>
      <c r="F35" s="3"/>
      <c r="G35" s="3"/>
    </row>
    <row r="36" spans="2:7">
      <c r="B36" s="1" t="s">
        <v>84</v>
      </c>
      <c r="C36" s="5">
        <v>0.4577000000000001</v>
      </c>
      <c r="D36" s="5">
        <v>0.4356</v>
      </c>
      <c r="E36" s="5">
        <v>0.4013</v>
      </c>
      <c r="F36" s="5">
        <v>0.3664</v>
      </c>
      <c r="G36" s="5">
        <v>0.3722</v>
      </c>
    </row>
    <row r="37" spans="2:7">
      <c r="B37" s="1" t="s">
        <v>85</v>
      </c>
      <c r="C37" s="5">
        <v>0</v>
      </c>
      <c r="D37" s="5">
        <v>0.0294</v>
      </c>
      <c r="E37" s="5">
        <v>0.0605</v>
      </c>
      <c r="F37" s="5">
        <v>0.06709999999999999</v>
      </c>
      <c r="G37" s="5">
        <v>0.1238</v>
      </c>
    </row>
    <row r="38" spans="2:7">
      <c r="B38" s="1" t="s">
        <v>86</v>
      </c>
      <c r="C38" s="5">
        <v>0</v>
      </c>
      <c r="D38" s="5">
        <v>0.0664</v>
      </c>
      <c r="E38" s="5">
        <v>0.0863</v>
      </c>
      <c r="F38" s="5">
        <v>0.06849999999999999</v>
      </c>
      <c r="G38" s="5">
        <v>0.0713</v>
      </c>
    </row>
    <row r="39" spans="2:7">
      <c r="B39" s="1" t="s">
        <v>87</v>
      </c>
      <c r="C39" s="5">
        <v>0</v>
      </c>
      <c r="D39" s="5">
        <v>0.0696</v>
      </c>
      <c r="E39" s="5">
        <v>0.09119999999999999</v>
      </c>
      <c r="F39" s="5">
        <v>0.1074</v>
      </c>
      <c r="G39" s="5">
        <v>0.1121</v>
      </c>
    </row>
    <row r="40" spans="2:7">
      <c r="B40" s="1" t="s">
        <v>88</v>
      </c>
      <c r="C40" s="5">
        <v>0</v>
      </c>
      <c r="D40" s="5">
        <v>0.0696</v>
      </c>
      <c r="E40" s="5">
        <v>0.09119999999999999</v>
      </c>
      <c r="F40" s="5">
        <v>0.1074</v>
      </c>
      <c r="G40" s="5">
        <v>0.1121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Income Statement(a)</vt:lpstr>
      <vt:lpstr>Income Statement(q)</vt:lpstr>
      <vt:lpstr>Cash Flow(a)</vt:lpstr>
      <vt:lpstr>Cash Flow(q)</vt:lpstr>
      <vt:lpstr>Balance Sheet(a)</vt:lpstr>
      <vt:lpstr>Balance Sheet(q)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2026-02-12T09:00:22Z</dcterms:created>
  <dcterms:modified xsi:type="dcterms:W3CDTF">2026-02-12T09:00:22Z</dcterms:modified>
</cp:coreProperties>
</file>