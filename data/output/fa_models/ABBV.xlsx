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Balance Sheet" sheetId="2" r:id="rId2"/>
    <sheet name="Income Statement" sheetId="3" r:id="rId3"/>
    <sheet name="Cash Flow" sheetId="4" r:id="rId4"/>
  </sheets>
  <calcPr calcId="124519" fullCalcOnLoad="1"/>
</workbook>
</file>

<file path=xl/sharedStrings.xml><?xml version="1.0" encoding="utf-8"?>
<sst xmlns="http://schemas.openxmlformats.org/spreadsheetml/2006/main" count="72" uniqueCount="70">
  <si>
    <t>USD (in millions)</t>
  </si>
  <si>
    <t>Total Assets</t>
  </si>
  <si>
    <t>Current Assets</t>
  </si>
  <si>
    <t>Cash &amp; Short Inv</t>
  </si>
  <si>
    <t>Inventory</t>
  </si>
  <si>
    <t>Non-Current Assets</t>
  </si>
  <si>
    <t>PPE</t>
  </si>
  <si>
    <t>Total Liabilities</t>
  </si>
  <si>
    <t>Current Liabilities</t>
  </si>
  <si>
    <t>Short Term Debt</t>
  </si>
  <si>
    <t>Non-Current Liabilities</t>
  </si>
  <si>
    <t>Long Term Debt</t>
  </si>
  <si>
    <t>Total Equity</t>
  </si>
  <si>
    <t>Common Equity</t>
  </si>
  <si>
    <t>Retained Earnings</t>
  </si>
  <si>
    <t>Net Debt</t>
  </si>
  <si>
    <t>Tangible Assets</t>
  </si>
  <si>
    <t>CapitalEmployed</t>
  </si>
  <si>
    <t>Invested Capital</t>
  </si>
  <si>
    <t>NCAV</t>
  </si>
  <si>
    <t>Shares</t>
  </si>
  <si>
    <t>D_E</t>
  </si>
  <si>
    <t>AssetsGrowth</t>
  </si>
  <si>
    <t>TAGrowth</t>
  </si>
  <si>
    <t>EquityGrowth</t>
  </si>
  <si>
    <t>ICGrowth</t>
  </si>
  <si>
    <t>Revenue</t>
  </si>
  <si>
    <t>COGS</t>
  </si>
  <si>
    <t>Gross Profit</t>
  </si>
  <si>
    <t>SG&amp;A</t>
  </si>
  <si>
    <t>R&amp;D</t>
  </si>
  <si>
    <t>Others</t>
  </si>
  <si>
    <t>Operating Expense</t>
  </si>
  <si>
    <t>Operating Income</t>
  </si>
  <si>
    <t>Net Interest</t>
  </si>
  <si>
    <t>Other Income</t>
  </si>
  <si>
    <t>Pretax Income</t>
  </si>
  <si>
    <t>Taxes</t>
  </si>
  <si>
    <t>After-Tax Adj</t>
  </si>
  <si>
    <t>Net Income</t>
  </si>
  <si>
    <t>Other Stockholders</t>
  </si>
  <si>
    <t>NI Common</t>
  </si>
  <si>
    <t>AvgShares</t>
  </si>
  <si>
    <t>RevGrowth</t>
  </si>
  <si>
    <t>GrossMargin</t>
  </si>
  <si>
    <t>OpMargin</t>
  </si>
  <si>
    <t>NetMargin</t>
  </si>
  <si>
    <t>SG&amp;A_Rev</t>
  </si>
  <si>
    <t>R&amp;D_Rev</t>
  </si>
  <si>
    <t>OtherEx_Rev</t>
  </si>
  <si>
    <t>EPS</t>
  </si>
  <si>
    <t>D&amp;A</t>
  </si>
  <si>
    <t>Non-Cash Adj</t>
  </si>
  <si>
    <t>CFFO</t>
  </si>
  <si>
    <t>CFFI</t>
  </si>
  <si>
    <t>CFFF</t>
  </si>
  <si>
    <t>Changes In Cash</t>
  </si>
  <si>
    <t>OCF</t>
  </si>
  <si>
    <t>CapEx</t>
  </si>
  <si>
    <t>FCF</t>
  </si>
  <si>
    <t>CFGrowth</t>
  </si>
  <si>
    <t>CXChange</t>
  </si>
  <si>
    <t>FCFGrowth</t>
  </si>
  <si>
    <t>FCFMargin</t>
  </si>
  <si>
    <t>Price</t>
  </si>
  <si>
    <t>MC</t>
  </si>
  <si>
    <t>Cash</t>
  </si>
  <si>
    <t>Debt</t>
  </si>
  <si>
    <t>EV</t>
  </si>
  <si>
    <t>EV / Operating Income</t>
  </si>
</sst>
</file>

<file path=xl/styles.xml><?xml version="1.0" encoding="utf-8"?>
<styleSheet xmlns="http://schemas.openxmlformats.org/spreadsheetml/2006/main">
  <numFmts count="4">
    <numFmt numFmtId="164" formatCode="#,##0.00"/>
    <numFmt numFmtId="165" formatCode="#,##0"/>
    <numFmt numFmtId="166" formatCode="0.00"/>
    <numFmt numFmtId="167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J9"/>
  <sheetViews>
    <sheetView tabSelected="1" workbookViewId="0"/>
  </sheetViews>
  <sheetFormatPr defaultRowHeight="15"/>
  <cols>
    <col min="2" max="2" width="19.7109375" customWidth="1"/>
    <col min="9" max="9" width="8.7109375" customWidth="1"/>
  </cols>
  <sheetData>
    <row r="3" spans="2:10">
      <c r="B3" s="1" t="s">
        <v>0</v>
      </c>
      <c r="I3" s="1" t="s">
        <v>64</v>
      </c>
      <c r="J3" s="2">
        <v>223.43</v>
      </c>
    </row>
    <row r="4" spans="2:10">
      <c r="I4" s="1" t="s">
        <v>20</v>
      </c>
      <c r="J4" s="3">
        <v>1767.384457091707</v>
      </c>
    </row>
    <row r="5" spans="2:10">
      <c r="I5" s="1" t="s">
        <v>65</v>
      </c>
      <c r="J5" s="3">
        <f>J3*J4</f>
        <v>0</v>
      </c>
    </row>
    <row r="6" spans="2:10">
      <c r="I6" s="1" t="s">
        <v>66</v>
      </c>
      <c r="J6" s="3">
        <v>5555</v>
      </c>
    </row>
    <row r="7" spans="2:10">
      <c r="I7" s="1" t="s">
        <v>67</v>
      </c>
      <c r="J7" s="3">
        <v>67144</v>
      </c>
    </row>
    <row r="8" spans="2:10">
      <c r="I8" s="1" t="s">
        <v>68</v>
      </c>
      <c r="J8" s="3">
        <f>J5+J7-J6</f>
        <v>0</v>
      </c>
    </row>
    <row r="9" spans="2:10">
      <c r="I9" s="1" t="s">
        <v>69</v>
      </c>
      <c r="J9" s="4">
        <f>J8/'Income Statement'!F10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F28"/>
  <sheetViews>
    <sheetView workbookViewId="0"/>
  </sheetViews>
  <sheetFormatPr defaultRowHeight="15"/>
  <cols>
    <col min="2" max="2" width="25.7109375" customWidth="1"/>
  </cols>
  <sheetData>
    <row r="2" spans="2:6">
      <c r="C2" s="5">
        <v>2021</v>
      </c>
      <c r="D2" s="5">
        <v>2022</v>
      </c>
      <c r="E2" s="5">
        <v>2023</v>
      </c>
      <c r="F2" s="5">
        <v>2024</v>
      </c>
    </row>
    <row r="3" spans="2:6">
      <c r="B3" s="1" t="s">
        <v>1</v>
      </c>
      <c r="C3" s="3">
        <f>C4+C7</f>
        <v>0</v>
      </c>
      <c r="D3" s="3">
        <f>D4+D7</f>
        <v>0</v>
      </c>
      <c r="E3" s="3">
        <f>E4+E7</f>
        <v>0</v>
      </c>
      <c r="F3" s="3">
        <f>F4+F7</f>
        <v>0</v>
      </c>
    </row>
    <row r="4" spans="2:6">
      <c r="B4" s="1" t="s">
        <v>2</v>
      </c>
      <c r="C4" s="3">
        <v>27928</v>
      </c>
      <c r="D4" s="3">
        <v>28463</v>
      </c>
      <c r="E4" s="3">
        <v>33002</v>
      </c>
      <c r="F4" s="3">
        <v>25582</v>
      </c>
    </row>
    <row r="5" spans="2:6">
      <c r="B5" s="1" t="s">
        <v>3</v>
      </c>
      <c r="C5" s="3">
        <v>9830</v>
      </c>
      <c r="D5" s="3">
        <v>9229</v>
      </c>
      <c r="E5" s="3">
        <v>12816</v>
      </c>
      <c r="F5" s="3">
        <v>5555</v>
      </c>
    </row>
    <row r="6" spans="2:6">
      <c r="B6" s="1" t="s">
        <v>4</v>
      </c>
      <c r="C6" s="3">
        <v>3128</v>
      </c>
      <c r="D6" s="3">
        <v>3579</v>
      </c>
      <c r="E6" s="3">
        <v>4099</v>
      </c>
      <c r="F6" s="3">
        <v>4181</v>
      </c>
    </row>
    <row r="7" spans="2:6">
      <c r="B7" s="1" t="s">
        <v>5</v>
      </c>
      <c r="C7" s="3">
        <v>118601</v>
      </c>
      <c r="D7" s="3">
        <v>110342</v>
      </c>
      <c r="E7" s="3">
        <v>101709</v>
      </c>
      <c r="F7" s="3">
        <v>109579</v>
      </c>
    </row>
    <row r="8" spans="2:6">
      <c r="B8" s="1" t="s">
        <v>6</v>
      </c>
      <c r="C8" s="3">
        <v>5110</v>
      </c>
      <c r="D8" s="3">
        <v>4935</v>
      </c>
      <c r="E8" s="3">
        <v>4989</v>
      </c>
      <c r="F8" s="3">
        <v>5134</v>
      </c>
    </row>
    <row r="9" spans="2:6">
      <c r="B9" s="1" t="s">
        <v>7</v>
      </c>
      <c r="C9" s="3">
        <f>C10+C12</f>
        <v>0</v>
      </c>
      <c r="D9" s="3">
        <f>D10+D12</f>
        <v>0</v>
      </c>
      <c r="E9" s="3">
        <f>E10+E12</f>
        <v>0</v>
      </c>
      <c r="F9" s="3">
        <f>F10+F12</f>
        <v>0</v>
      </c>
    </row>
    <row r="10" spans="2:6">
      <c r="B10" s="1" t="s">
        <v>8</v>
      </c>
      <c r="C10" s="3">
        <v>35194</v>
      </c>
      <c r="D10" s="3">
        <v>29538</v>
      </c>
      <c r="E10" s="3">
        <v>37841</v>
      </c>
      <c r="F10" s="3">
        <v>38749</v>
      </c>
    </row>
    <row r="11" spans="2:6">
      <c r="B11" s="1" t="s">
        <v>9</v>
      </c>
      <c r="C11" s="3">
        <v>12495</v>
      </c>
      <c r="D11" s="3">
        <v>4136</v>
      </c>
      <c r="E11" s="3">
        <v>7191</v>
      </c>
      <c r="F11" s="3">
        <v>6804</v>
      </c>
    </row>
    <row r="12" spans="2:6">
      <c r="B12" s="1" t="s">
        <v>10</v>
      </c>
      <c r="C12" s="3">
        <v>95899</v>
      </c>
      <c r="D12" s="3">
        <v>91980</v>
      </c>
      <c r="E12" s="3">
        <v>86473</v>
      </c>
      <c r="F12" s="3">
        <v>93048</v>
      </c>
    </row>
    <row r="13" spans="2:6">
      <c r="B13" s="1" t="s">
        <v>11</v>
      </c>
      <c r="C13" s="3">
        <v>64189</v>
      </c>
      <c r="D13" s="3">
        <v>59135</v>
      </c>
      <c r="E13" s="3">
        <v>52194</v>
      </c>
      <c r="F13" s="3">
        <v>60340</v>
      </c>
    </row>
    <row r="14" spans="2:6">
      <c r="B14" s="1" t="s">
        <v>12</v>
      </c>
      <c r="C14" s="3">
        <f>C3+C9</f>
        <v>0</v>
      </c>
      <c r="D14" s="3">
        <f>D3+D9</f>
        <v>0</v>
      </c>
      <c r="E14" s="3">
        <f>E3+E9</f>
        <v>0</v>
      </c>
      <c r="F14" s="3">
        <f>F3+F9</f>
        <v>0</v>
      </c>
    </row>
    <row r="15" spans="2:6">
      <c r="B15" s="1" t="s">
        <v>13</v>
      </c>
      <c r="C15" s="3">
        <v>15408</v>
      </c>
      <c r="D15" s="3">
        <v>17254</v>
      </c>
      <c r="E15" s="3">
        <v>10360</v>
      </c>
      <c r="F15" s="3">
        <v>3325</v>
      </c>
    </row>
    <row r="16" spans="2:6">
      <c r="B16" s="1" t="s">
        <v>14</v>
      </c>
      <c r="C16" s="3">
        <v>3127</v>
      </c>
      <c r="D16" s="3">
        <v>4784</v>
      </c>
      <c r="E16" s="3">
        <v>-1000</v>
      </c>
      <c r="F16" s="3">
        <v>-7900</v>
      </c>
    </row>
    <row r="17" spans="2:6">
      <c r="B17" s="1" t="s">
        <v>15</v>
      </c>
      <c r="C17" s="3">
        <v>66854</v>
      </c>
      <c r="D17" s="3">
        <v>54042</v>
      </c>
      <c r="E17" s="3">
        <v>46569</v>
      </c>
      <c r="F17" s="3">
        <v>61589</v>
      </c>
    </row>
    <row r="18" spans="2:6">
      <c r="B18" s="1" t="s">
        <v>16</v>
      </c>
      <c r="C18" s="3">
        <v>8238</v>
      </c>
      <c r="D18" s="3">
        <v>8514</v>
      </c>
      <c r="E18" s="3">
        <v>9088</v>
      </c>
      <c r="F18" s="3">
        <v>9315</v>
      </c>
    </row>
    <row r="19" spans="2:6">
      <c r="B19" s="1" t="s">
        <v>17</v>
      </c>
      <c r="C19" s="3">
        <v>111335</v>
      </c>
      <c r="D19" s="3">
        <v>109267</v>
      </c>
      <c r="E19" s="3">
        <v>96870</v>
      </c>
      <c r="F19" s="3">
        <v>96412</v>
      </c>
    </row>
    <row r="20" spans="2:6">
      <c r="B20" s="1" t="s">
        <v>18</v>
      </c>
      <c r="C20" s="3">
        <v>82374</v>
      </c>
      <c r="D20" s="3">
        <v>71357</v>
      </c>
      <c r="E20" s="3">
        <v>56968</v>
      </c>
      <c r="F20" s="3">
        <v>64984</v>
      </c>
    </row>
    <row r="21" spans="2:6">
      <c r="B21" s="1" t="s">
        <v>19</v>
      </c>
      <c r="C21" s="3">
        <v>-103165</v>
      </c>
      <c r="D21" s="3">
        <v>-93055</v>
      </c>
      <c r="E21" s="3">
        <v>-91312</v>
      </c>
      <c r="F21" s="3">
        <v>-106215</v>
      </c>
    </row>
    <row r="22" spans="2:6">
      <c r="B22" s="1" t="s">
        <v>20</v>
      </c>
      <c r="C22" s="3">
        <v>1768</v>
      </c>
      <c r="D22" s="3">
        <v>1769</v>
      </c>
      <c r="E22" s="3">
        <v>1766</v>
      </c>
      <c r="F22" s="3">
        <v>1765</v>
      </c>
    </row>
    <row r="23" spans="2:6">
      <c r="B23" s="1"/>
    </row>
    <row r="24" spans="2:6">
      <c r="B24" s="1" t="s">
        <v>21</v>
      </c>
      <c r="C24" s="3">
        <v>4.9679</v>
      </c>
      <c r="D24" s="3">
        <v>3.66</v>
      </c>
      <c r="E24" s="3">
        <v>5.7117</v>
      </c>
      <c r="F24" s="3">
        <v>19.9596</v>
      </c>
    </row>
    <row r="25" spans="2:6">
      <c r="B25" s="1" t="s">
        <v>22</v>
      </c>
      <c r="C25" s="6">
        <v>0</v>
      </c>
      <c r="D25" s="6">
        <v>-0.0527</v>
      </c>
      <c r="E25" s="6">
        <v>-0.0295</v>
      </c>
      <c r="F25" s="6">
        <v>0.0033</v>
      </c>
    </row>
    <row r="26" spans="2:6">
      <c r="B26" s="1" t="s">
        <v>23</v>
      </c>
      <c r="C26" s="6">
        <v>0</v>
      </c>
      <c r="D26" s="6">
        <v>0.0335</v>
      </c>
      <c r="E26" s="6">
        <v>0.0674</v>
      </c>
      <c r="F26" s="6">
        <v>0.025</v>
      </c>
    </row>
    <row r="27" spans="2:6">
      <c r="B27" s="1" t="s">
        <v>24</v>
      </c>
      <c r="C27" s="6">
        <v>0</v>
      </c>
      <c r="D27" s="6">
        <v>0.1198</v>
      </c>
      <c r="E27" s="6">
        <v>-0.3996</v>
      </c>
      <c r="F27" s="6">
        <v>-0.6790999999999999</v>
      </c>
    </row>
    <row r="28" spans="2:6">
      <c r="B28" s="1" t="s">
        <v>25</v>
      </c>
      <c r="C28" s="6">
        <v>0</v>
      </c>
      <c r="D28" s="6">
        <v>-0.1337</v>
      </c>
      <c r="E28" s="6">
        <v>-0.2016</v>
      </c>
      <c r="F28" s="6">
        <v>0.1407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F28"/>
  <sheetViews>
    <sheetView workbookViewId="0"/>
  </sheetViews>
  <sheetFormatPr defaultRowHeight="15"/>
  <cols>
    <col min="2" max="2" width="20.7109375" customWidth="1"/>
  </cols>
  <sheetData>
    <row r="2" spans="2:6">
      <c r="C2" s="5">
        <v>2021</v>
      </c>
      <c r="D2" s="5">
        <v>2022</v>
      </c>
      <c r="E2" s="5">
        <v>2023</v>
      </c>
      <c r="F2" s="5">
        <v>2024</v>
      </c>
    </row>
    <row r="3" spans="2:6">
      <c r="B3" s="1" t="s">
        <v>26</v>
      </c>
      <c r="C3" s="3">
        <v>56197</v>
      </c>
      <c r="D3" s="3">
        <v>58054</v>
      </c>
      <c r="E3" s="3">
        <v>54318</v>
      </c>
      <c r="F3" s="3">
        <v>56334</v>
      </c>
    </row>
    <row r="4" spans="2:6">
      <c r="B4" s="1" t="s">
        <v>27</v>
      </c>
      <c r="C4" s="3">
        <v>-17446</v>
      </c>
      <c r="D4" s="3">
        <v>-17414</v>
      </c>
      <c r="E4" s="3">
        <v>-20415</v>
      </c>
      <c r="F4" s="3">
        <v>-16904</v>
      </c>
    </row>
    <row r="5" spans="2:6">
      <c r="B5" s="1" t="s">
        <v>28</v>
      </c>
      <c r="C5" s="3">
        <f>C3+C4</f>
        <v>0</v>
      </c>
      <c r="D5" s="3">
        <f>D3+D4</f>
        <v>0</v>
      </c>
      <c r="E5" s="3">
        <f>E3+E4</f>
        <v>0</v>
      </c>
      <c r="F5" s="3">
        <f>F3+F4</f>
        <v>0</v>
      </c>
    </row>
    <row r="6" spans="2:6">
      <c r="B6" s="1" t="s">
        <v>29</v>
      </c>
      <c r="C6" s="3">
        <v>-12349</v>
      </c>
      <c r="D6" s="3">
        <v>-15260</v>
      </c>
      <c r="E6" s="3">
        <v>-12872</v>
      </c>
      <c r="F6" s="3">
        <v>-14752</v>
      </c>
    </row>
    <row r="7" spans="2:6">
      <c r="B7" s="1" t="s">
        <v>30</v>
      </c>
      <c r="C7" s="3">
        <v>-8046</v>
      </c>
      <c r="D7" s="3">
        <v>-6510</v>
      </c>
      <c r="E7" s="3">
        <v>-7675</v>
      </c>
      <c r="F7" s="3">
        <v>-12791</v>
      </c>
    </row>
    <row r="8" spans="2:6">
      <c r="B8" s="1" t="s">
        <v>31</v>
      </c>
      <c r="C8" s="3">
        <v>-432</v>
      </c>
      <c r="D8" s="3">
        <v>-56</v>
      </c>
      <c r="E8" s="3">
        <v>179</v>
      </c>
      <c r="F8" s="3">
        <v>7</v>
      </c>
    </row>
    <row r="9" spans="2:6">
      <c r="B9" s="1" t="s">
        <v>32</v>
      </c>
      <c r="C9" s="3">
        <f>C6+C7+C8</f>
        <v>0</v>
      </c>
      <c r="D9" s="3">
        <f>D6+D7+D8</f>
        <v>0</v>
      </c>
      <c r="E9" s="3">
        <f>E6+E7+E8</f>
        <v>0</v>
      </c>
      <c r="F9" s="3">
        <f>F6+F7+F8</f>
        <v>0</v>
      </c>
    </row>
    <row r="10" spans="2:6">
      <c r="B10" s="1" t="s">
        <v>33</v>
      </c>
      <c r="C10" s="3">
        <f>C5+C9</f>
        <v>0</v>
      </c>
      <c r="D10" s="3">
        <f>D5+D9</f>
        <v>0</v>
      </c>
      <c r="E10" s="3">
        <f>E5+E9</f>
        <v>0</v>
      </c>
      <c r="F10" s="3">
        <f>F5+F9</f>
        <v>0</v>
      </c>
    </row>
    <row r="11" spans="2:6">
      <c r="B11" s="1" t="s">
        <v>34</v>
      </c>
      <c r="C11" s="3">
        <v>-2384</v>
      </c>
      <c r="D11" s="3">
        <v>-2044</v>
      </c>
      <c r="E11" s="3">
        <v>-1684</v>
      </c>
      <c r="F11" s="3">
        <v>-2160</v>
      </c>
    </row>
    <row r="12" spans="2:6">
      <c r="B12" s="1" t="s">
        <v>35</v>
      </c>
      <c r="C12" s="3">
        <v>-2551</v>
      </c>
      <c r="D12" s="3">
        <v>-3293</v>
      </c>
      <c r="E12" s="3">
        <v>-5601</v>
      </c>
      <c r="F12" s="3">
        <v>-6018</v>
      </c>
    </row>
    <row r="13" spans="2:6">
      <c r="B13" s="1" t="s">
        <v>36</v>
      </c>
      <c r="C13" s="3">
        <f>C10+C11+C12</f>
        <v>0</v>
      </c>
      <c r="D13" s="3">
        <f>D10+D11+D12</f>
        <v>0</v>
      </c>
      <c r="E13" s="3">
        <f>E10+E11+E12</f>
        <v>0</v>
      </c>
      <c r="F13" s="3">
        <f>F10+F11+F12</f>
        <v>0</v>
      </c>
    </row>
    <row r="14" spans="2:6">
      <c r="B14" s="1" t="s">
        <v>37</v>
      </c>
      <c r="C14" s="3">
        <v>-1440</v>
      </c>
      <c r="D14" s="3">
        <v>-1632</v>
      </c>
      <c r="E14" s="3">
        <v>-1377</v>
      </c>
      <c r="F14" s="3">
        <v>570</v>
      </c>
    </row>
    <row r="15" spans="2:6">
      <c r="B15" s="1" t="s">
        <v>38</v>
      </c>
      <c r="C15" s="3">
        <v>-7</v>
      </c>
      <c r="D15" s="3">
        <v>-9</v>
      </c>
      <c r="E15" s="3">
        <v>-10</v>
      </c>
      <c r="F15" s="3">
        <v>-8</v>
      </c>
    </row>
    <row r="16" spans="2:6">
      <c r="B16" s="1" t="s">
        <v>39</v>
      </c>
      <c r="C16" s="3">
        <f>C13+C14+C15</f>
        <v>0</v>
      </c>
      <c r="D16" s="3">
        <f>D13+D14+D15</f>
        <v>0</v>
      </c>
      <c r="E16" s="3">
        <f>E13+E14+E15</f>
        <v>0</v>
      </c>
      <c r="F16" s="3">
        <f>F13+F14+F15</f>
        <v>0</v>
      </c>
    </row>
    <row r="17" spans="2:6">
      <c r="B17" s="1" t="s">
        <v>40</v>
      </c>
      <c r="C17" s="3">
        <v>-74</v>
      </c>
      <c r="D17" s="3">
        <v>-54</v>
      </c>
      <c r="E17" s="3">
        <v>-43</v>
      </c>
      <c r="F17" s="3">
        <v>-40</v>
      </c>
    </row>
    <row r="18" spans="2:6">
      <c r="B18" s="1" t="s">
        <v>41</v>
      </c>
      <c r="C18" s="3">
        <f>C16+C17</f>
        <v>0</v>
      </c>
      <c r="D18" s="3">
        <f>D16+D17</f>
        <v>0</v>
      </c>
      <c r="E18" s="3">
        <f>E16+E17</f>
        <v>0</v>
      </c>
      <c r="F18" s="3">
        <f>F16+F17</f>
        <v>0</v>
      </c>
    </row>
    <row r="19" spans="2:6">
      <c r="B19" s="1" t="s">
        <v>42</v>
      </c>
      <c r="C19" s="3">
        <v>1768</v>
      </c>
      <c r="D19" s="3">
        <v>1778</v>
      </c>
      <c r="E19" s="3">
        <v>1773</v>
      </c>
      <c r="F19" s="3">
        <v>1773</v>
      </c>
    </row>
    <row r="20" spans="2:6">
      <c r="B20" s="1"/>
    </row>
    <row r="21" spans="2:6">
      <c r="B21" s="1" t="s">
        <v>43</v>
      </c>
      <c r="C21" s="6">
        <v>0</v>
      </c>
      <c r="D21" s="6">
        <f>IFERROR((D3-C3)/C3,0)</f>
        <v>0</v>
      </c>
      <c r="E21" s="6">
        <f>IFERROR((E3-D3)/D3,0)</f>
        <v>0</v>
      </c>
      <c r="F21" s="6">
        <f>IFERROR((F3-E3)/E3,0)</f>
        <v>0</v>
      </c>
    </row>
    <row r="22" spans="2:6">
      <c r="B22" s="1" t="s">
        <v>44</v>
      </c>
      <c r="C22" s="6">
        <f>C5/C3</f>
        <v>0</v>
      </c>
      <c r="D22" s="6">
        <f>D5/D3</f>
        <v>0</v>
      </c>
      <c r="E22" s="6">
        <f>E5/E3</f>
        <v>0</v>
      </c>
      <c r="F22" s="6">
        <f>F5/F3</f>
        <v>0</v>
      </c>
    </row>
    <row r="23" spans="2:6">
      <c r="B23" s="1" t="s">
        <v>45</v>
      </c>
      <c r="C23" s="6">
        <f>C10/C3</f>
        <v>0</v>
      </c>
      <c r="D23" s="6">
        <f>D10/D3</f>
        <v>0</v>
      </c>
      <c r="E23" s="6">
        <f>E10/E3</f>
        <v>0</v>
      </c>
      <c r="F23" s="6">
        <f>F10/F3</f>
        <v>0</v>
      </c>
    </row>
    <row r="24" spans="2:6">
      <c r="B24" s="1" t="s">
        <v>46</v>
      </c>
      <c r="C24" s="6">
        <v>0.2041</v>
      </c>
      <c r="D24" s="6">
        <v>0.2029</v>
      </c>
      <c r="E24" s="6">
        <v>0.08869999999999999</v>
      </c>
      <c r="F24" s="6">
        <v>0.07519999999999999</v>
      </c>
    </row>
    <row r="25" spans="2:6">
      <c r="B25" s="1" t="s">
        <v>47</v>
      </c>
      <c r="C25" s="6">
        <f>C6/C3</f>
        <v>0</v>
      </c>
      <c r="D25" s="6">
        <f>D6/D3</f>
        <v>0</v>
      </c>
      <c r="E25" s="6">
        <f>E6/E3</f>
        <v>0</v>
      </c>
      <c r="F25" s="6">
        <f>F6/F3</f>
        <v>0</v>
      </c>
    </row>
    <row r="26" spans="2:6">
      <c r="B26" s="1" t="s">
        <v>48</v>
      </c>
      <c r="C26" s="6">
        <f>C7/C3</f>
        <v>0</v>
      </c>
      <c r="D26" s="6">
        <f>D7/D3</f>
        <v>0</v>
      </c>
      <c r="E26" s="6">
        <f>E7/E3</f>
        <v>0</v>
      </c>
      <c r="F26" s="6">
        <f>F7/F3</f>
        <v>0</v>
      </c>
    </row>
    <row r="27" spans="2:6">
      <c r="B27" s="1" t="s">
        <v>49</v>
      </c>
      <c r="C27" s="6">
        <f>C8/C3</f>
        <v>0</v>
      </c>
      <c r="D27" s="6">
        <f>D8/D3</f>
        <v>0</v>
      </c>
      <c r="E27" s="6">
        <f>E8/E3</f>
        <v>0</v>
      </c>
      <c r="F27" s="6">
        <f>F8/F3</f>
        <v>0</v>
      </c>
    </row>
    <row r="28" spans="2:6">
      <c r="B28" s="1" t="s">
        <v>50</v>
      </c>
      <c r="C28" s="6">
        <f>C18/C19</f>
        <v>0</v>
      </c>
      <c r="D28" s="6">
        <f>D18/D19</f>
        <v>0</v>
      </c>
      <c r="E28" s="6">
        <f>E18/E19</f>
        <v>0</v>
      </c>
      <c r="F28" s="6">
        <f>F18/F19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2:F17"/>
  <sheetViews>
    <sheetView workbookViewId="0"/>
  </sheetViews>
  <sheetFormatPr defaultRowHeight="15"/>
  <cols>
    <col min="2" max="2" width="17.7109375" customWidth="1"/>
  </cols>
  <sheetData>
    <row r="2" spans="2:6">
      <c r="C2" s="5">
        <v>2021</v>
      </c>
      <c r="D2" s="5">
        <v>2022</v>
      </c>
      <c r="E2" s="5">
        <v>2023</v>
      </c>
      <c r="F2" s="5">
        <v>2024</v>
      </c>
    </row>
    <row r="3" spans="2:6">
      <c r="B3" s="1" t="s">
        <v>39</v>
      </c>
      <c r="C3" s="3">
        <v>11542</v>
      </c>
      <c r="D3" s="3">
        <v>11836</v>
      </c>
      <c r="E3" s="3">
        <v>4863</v>
      </c>
      <c r="F3" s="3">
        <v>4278</v>
      </c>
    </row>
    <row r="4" spans="2:6">
      <c r="B4" s="1" t="s">
        <v>51</v>
      </c>
      <c r="C4" s="3">
        <v>8521</v>
      </c>
      <c r="D4" s="3">
        <v>8467</v>
      </c>
      <c r="E4" s="3">
        <v>8698</v>
      </c>
      <c r="F4" s="3">
        <v>8386</v>
      </c>
    </row>
    <row r="5" spans="2:6">
      <c r="B5" s="1" t="s">
        <v>52</v>
      </c>
      <c r="C5" s="3">
        <v>2714</v>
      </c>
      <c r="D5" s="3">
        <v>4640</v>
      </c>
      <c r="E5" s="3">
        <v>9278</v>
      </c>
      <c r="F5" s="3">
        <v>6142</v>
      </c>
    </row>
    <row r="6" spans="2:6">
      <c r="B6" s="1" t="s">
        <v>53</v>
      </c>
      <c r="C6" s="3">
        <f>C3+C4+C5</f>
        <v>0</v>
      </c>
      <c r="D6" s="3">
        <f>D3+D4+D5</f>
        <v>0</v>
      </c>
      <c r="E6" s="3">
        <f>E3+E4+E5</f>
        <v>0</v>
      </c>
      <c r="F6" s="3">
        <f>F3+F4+F5</f>
        <v>0</v>
      </c>
    </row>
    <row r="7" spans="2:6">
      <c r="B7" s="1" t="s">
        <v>54</v>
      </c>
      <c r="C7" s="3">
        <v>-2344</v>
      </c>
      <c r="D7" s="3">
        <v>-623</v>
      </c>
      <c r="E7" s="3">
        <v>-2009</v>
      </c>
      <c r="F7" s="3">
        <v>-20820</v>
      </c>
    </row>
    <row r="8" spans="2:6">
      <c r="B8" s="1" t="s">
        <v>55</v>
      </c>
      <c r="C8" s="3">
        <v>-19039</v>
      </c>
      <c r="D8" s="3">
        <v>-24803</v>
      </c>
      <c r="E8" s="3">
        <v>-17222</v>
      </c>
      <c r="F8" s="3">
        <v>-5211</v>
      </c>
    </row>
    <row r="9" spans="2:6">
      <c r="B9" s="1" t="s">
        <v>56</v>
      </c>
      <c r="C9" s="3">
        <f>C6+C7+C8</f>
        <v>0</v>
      </c>
      <c r="D9" s="3">
        <f>D6+D7+D8</f>
        <v>0</v>
      </c>
      <c r="E9" s="3">
        <f>E6+E7+E8</f>
        <v>0</v>
      </c>
      <c r="F9" s="3">
        <f>F6+F7+F8</f>
        <v>0</v>
      </c>
    </row>
    <row r="10" spans="2:6">
      <c r="B10" s="1" t="s">
        <v>57</v>
      </c>
      <c r="C10" s="3">
        <v>22777</v>
      </c>
      <c r="D10" s="3">
        <v>24943</v>
      </c>
      <c r="E10" s="3">
        <v>22839</v>
      </c>
      <c r="F10" s="3">
        <v>18806</v>
      </c>
    </row>
    <row r="11" spans="2:6">
      <c r="B11" s="1" t="s">
        <v>58</v>
      </c>
      <c r="C11" s="3">
        <v>-787</v>
      </c>
      <c r="D11" s="3">
        <v>-695</v>
      </c>
      <c r="E11" s="3">
        <v>-777</v>
      </c>
      <c r="F11" s="3">
        <v>-974</v>
      </c>
    </row>
    <row r="12" spans="2:6">
      <c r="B12" s="1" t="s">
        <v>59</v>
      </c>
      <c r="C12" s="3">
        <f>C10+C11</f>
        <v>0</v>
      </c>
      <c r="D12" s="3">
        <f>D10+D11</f>
        <v>0</v>
      </c>
      <c r="E12" s="3">
        <f>E10+E11</f>
        <v>0</v>
      </c>
      <c r="F12" s="3">
        <f>F10+F11</f>
        <v>0</v>
      </c>
    </row>
    <row r="13" spans="2:6">
      <c r="B13" s="1"/>
    </row>
    <row r="14" spans="2:6">
      <c r="B14" s="1" t="s">
        <v>60</v>
      </c>
      <c r="C14" s="6">
        <v>0</v>
      </c>
      <c r="D14" s="6">
        <v>0.0951</v>
      </c>
      <c r="E14" s="6">
        <v>-0.08439999999999999</v>
      </c>
      <c r="F14" s="6">
        <v>-0.1766</v>
      </c>
    </row>
    <row r="15" spans="2:6">
      <c r="B15" s="1" t="s">
        <v>61</v>
      </c>
      <c r="C15" s="6">
        <v>0</v>
      </c>
      <c r="D15" s="6">
        <v>-0.1169</v>
      </c>
      <c r="E15" s="6">
        <v>0.118</v>
      </c>
      <c r="F15" s="6">
        <v>0.2535</v>
      </c>
    </row>
    <row r="16" spans="2:6">
      <c r="B16" s="1" t="s">
        <v>62</v>
      </c>
      <c r="C16" s="6">
        <v>0</v>
      </c>
      <c r="D16" s="6">
        <v>0.1027</v>
      </c>
      <c r="E16" s="6">
        <v>-0.0902</v>
      </c>
      <c r="F16" s="6">
        <v>-0.1917</v>
      </c>
    </row>
    <row r="17" spans="2:6">
      <c r="B17" s="1" t="s">
        <v>63</v>
      </c>
      <c r="C17" s="6">
        <v>0.9654</v>
      </c>
      <c r="D17" s="6">
        <v>0.9721</v>
      </c>
      <c r="E17" s="6">
        <v>0.966</v>
      </c>
      <c r="F17" s="6">
        <v>0.9481999999999999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Balance Sheet</vt:lpstr>
      <vt:lpstr>Income Statement</vt:lpstr>
      <vt:lpstr>Cash 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2026-02-07T11:58:35Z</dcterms:created>
  <dcterms:modified xsi:type="dcterms:W3CDTF">2026-02-07T11:58:35Z</dcterms:modified>
</cp:coreProperties>
</file>