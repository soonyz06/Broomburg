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del\data\output\fa_models\"/>
    </mc:Choice>
  </mc:AlternateContent>
  <xr:revisionPtr revIDLastSave="0" documentId="13_ncr:1_{AEEA4E5C-99A0-47D8-98E2-6DC44F7F9EBC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Main" sheetId="1" r:id="rId1"/>
    <sheet name="Income Statement(a)" sheetId="2" r:id="rId2"/>
    <sheet name="Income Statement(q)" sheetId="3" r:id="rId3"/>
    <sheet name="Cash Flow(a)" sheetId="4" r:id="rId4"/>
    <sheet name="Cash Flow(q)" sheetId="5" r:id="rId5"/>
    <sheet name="Balance Sheet(a)" sheetId="6" r:id="rId6"/>
    <sheet name="Balance Sheet(q)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I5" i="2"/>
  <c r="J5" i="2"/>
  <c r="G5" i="2"/>
  <c r="G23" i="2" s="1"/>
  <c r="G22" i="2"/>
  <c r="H22" i="2"/>
  <c r="I22" i="2"/>
  <c r="J22" i="2"/>
  <c r="H23" i="2"/>
  <c r="I23" i="2"/>
  <c r="J23" i="2"/>
  <c r="H24" i="2"/>
  <c r="I24" i="2"/>
  <c r="J24" i="2"/>
  <c r="H25" i="2"/>
  <c r="H3" i="2"/>
  <c r="I3" i="2"/>
  <c r="J3" i="2"/>
  <c r="J10" i="2" s="1"/>
  <c r="J13" i="2" s="1"/>
  <c r="J16" i="2" s="1"/>
  <c r="J18" i="2" s="1"/>
  <c r="J25" i="2" s="1"/>
  <c r="G3" i="2"/>
  <c r="G10" i="2" s="1"/>
  <c r="G13" i="2" s="1"/>
  <c r="G16" i="2" s="1"/>
  <c r="G18" i="2" s="1"/>
  <c r="G25" i="2" s="1"/>
  <c r="H2" i="2"/>
  <c r="I2" i="2"/>
  <c r="J2" i="2" s="1"/>
  <c r="H10" i="2"/>
  <c r="H13" i="2" s="1"/>
  <c r="H16" i="2" s="1"/>
  <c r="H18" i="2" s="1"/>
  <c r="I10" i="2"/>
  <c r="I13" i="2" s="1"/>
  <c r="I16" i="2" s="1"/>
  <c r="I18" i="2" s="1"/>
  <c r="I25" i="2" s="1"/>
  <c r="H9" i="2"/>
  <c r="I9" i="2"/>
  <c r="J9" i="2"/>
  <c r="G9" i="2"/>
  <c r="G2" i="2"/>
  <c r="G26" i="7"/>
  <c r="F26" i="7"/>
  <c r="D26" i="7"/>
  <c r="C26" i="7"/>
  <c r="G20" i="7"/>
  <c r="F20" i="7"/>
  <c r="E20" i="7"/>
  <c r="D20" i="7"/>
  <c r="C20" i="7"/>
  <c r="G12" i="7"/>
  <c r="F12" i="7"/>
  <c r="E12" i="7"/>
  <c r="E26" i="7" s="1"/>
  <c r="D12" i="7"/>
  <c r="C12" i="7"/>
  <c r="F20" i="6"/>
  <c r="E20" i="6"/>
  <c r="D20" i="6"/>
  <c r="C20" i="6"/>
  <c r="F12" i="6"/>
  <c r="F26" i="6" s="1"/>
  <c r="E12" i="6"/>
  <c r="E26" i="6" s="1"/>
  <c r="D12" i="6"/>
  <c r="D26" i="6" s="1"/>
  <c r="C12" i="6"/>
  <c r="C26" i="6" s="1"/>
  <c r="G25" i="5"/>
  <c r="F25" i="5"/>
  <c r="E25" i="5"/>
  <c r="D25" i="5"/>
  <c r="C25" i="5"/>
  <c r="F25" i="4"/>
  <c r="E25" i="4"/>
  <c r="D25" i="4"/>
  <c r="C25" i="4"/>
  <c r="E23" i="3"/>
  <c r="D23" i="3"/>
  <c r="G22" i="3"/>
  <c r="F22" i="3"/>
  <c r="E22" i="3"/>
  <c r="D22" i="3"/>
  <c r="E10" i="3"/>
  <c r="E24" i="3" s="1"/>
  <c r="D10" i="3"/>
  <c r="D24" i="3" s="1"/>
  <c r="G9" i="3"/>
  <c r="F9" i="3"/>
  <c r="E9" i="3"/>
  <c r="D9" i="3"/>
  <c r="C9" i="3"/>
  <c r="G5" i="3"/>
  <c r="G23" i="3" s="1"/>
  <c r="F5" i="3"/>
  <c r="F23" i="3" s="1"/>
  <c r="E5" i="3"/>
  <c r="D5" i="3"/>
  <c r="C5" i="3"/>
  <c r="C23" i="3" s="1"/>
  <c r="D23" i="2"/>
  <c r="C23" i="2"/>
  <c r="F22" i="2"/>
  <c r="E22" i="2"/>
  <c r="D22" i="2"/>
  <c r="F9" i="2"/>
  <c r="E9" i="2"/>
  <c r="D9" i="2"/>
  <c r="C9" i="2"/>
  <c r="F5" i="2"/>
  <c r="F10" i="2" s="1"/>
  <c r="E5" i="2"/>
  <c r="E10" i="2" s="1"/>
  <c r="D5" i="2"/>
  <c r="D10" i="2" s="1"/>
  <c r="C5" i="2"/>
  <c r="C10" i="2" s="1"/>
  <c r="J5" i="1"/>
  <c r="J8" i="1" s="1"/>
  <c r="J9" i="1" s="1"/>
  <c r="K18" i="2" l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G24" i="2"/>
  <c r="M24" i="2"/>
  <c r="M25" i="2" s="1"/>
  <c r="M26" i="2" s="1"/>
  <c r="D24" i="2"/>
  <c r="D13" i="2"/>
  <c r="D16" i="2" s="1"/>
  <c r="D18" i="2" s="1"/>
  <c r="D25" i="2" s="1"/>
  <c r="C24" i="2"/>
  <c r="C13" i="2"/>
  <c r="C16" i="2" s="1"/>
  <c r="C18" i="2" s="1"/>
  <c r="C25" i="2" s="1"/>
  <c r="E24" i="2"/>
  <c r="E13" i="2"/>
  <c r="E16" i="2" s="1"/>
  <c r="E18" i="2" s="1"/>
  <c r="E25" i="2" s="1"/>
  <c r="F13" i="2"/>
  <c r="F16" i="2" s="1"/>
  <c r="F18" i="2" s="1"/>
  <c r="F25" i="2" s="1"/>
  <c r="F24" i="2"/>
  <c r="F10" i="3"/>
  <c r="E23" i="2"/>
  <c r="G10" i="3"/>
  <c r="F23" i="2"/>
  <c r="D13" i="3"/>
  <c r="D16" i="3" s="1"/>
  <c r="D18" i="3" s="1"/>
  <c r="D25" i="3" s="1"/>
  <c r="E13" i="3"/>
  <c r="E16" i="3" s="1"/>
  <c r="E18" i="3" s="1"/>
  <c r="E25" i="3" s="1"/>
  <c r="C10" i="3"/>
  <c r="C24" i="3" l="1"/>
  <c r="C13" i="3"/>
  <c r="C16" i="3" s="1"/>
  <c r="C18" i="3" s="1"/>
  <c r="C25" i="3" s="1"/>
  <c r="G24" i="3"/>
  <c r="G13" i="3"/>
  <c r="G16" i="3" s="1"/>
  <c r="G18" i="3" s="1"/>
  <c r="G25" i="3" s="1"/>
  <c r="F24" i="3"/>
  <c r="F13" i="3"/>
  <c r="F16" i="3" s="1"/>
  <c r="F18" i="3" s="1"/>
  <c r="F25" i="3" s="1"/>
</calcChain>
</file>

<file path=xl/sharedStrings.xml><?xml version="1.0" encoding="utf-8"?>
<sst xmlns="http://schemas.openxmlformats.org/spreadsheetml/2006/main" count="195" uniqueCount="98">
  <si>
    <t>USD (in millions)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</si>
  <si>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</si>
  <si>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</si>
  <si>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</si>
  <si>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</si>
  <si>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</si>
  <si>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</si>
  <si>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</si>
  <si>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</si>
  <si>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</si>
  <si>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</si>
  <si>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</si>
  <si>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</si>
  <si>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</si>
  <si>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</si>
  <si>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</si>
  <si>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</si>
  <si>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 Shares</t>
  </si>
  <si>
    <t>Rev Growth</t>
  </si>
  <si>
    <t>Gross Margin</t>
  </si>
  <si>
    <t>Op Margin</t>
  </si>
  <si>
    <t>Net Margin</t>
  </si>
  <si>
    <t>FY24Q3</t>
  </si>
  <si>
    <t>FY24Q4</t>
  </si>
  <si>
    <t>FY25Q1</t>
  </si>
  <si>
    <t>FY25Q2</t>
  </si>
  <si>
    <t>FY25Q3</t>
  </si>
  <si>
    <t>D&amp;A</t>
  </si>
  <si>
    <t>Change In Working Capital</t>
  </si>
  <si>
    <t>Other Adj</t>
  </si>
  <si>
    <t>CFO</t>
  </si>
  <si>
    <t>Purchase Of Business</t>
  </si>
  <si>
    <t>Purchase Of Investment</t>
  </si>
  <si>
    <t>Sale Of Investment</t>
  </si>
  <si>
    <t>Other Investing</t>
  </si>
  <si>
    <t>CFI</t>
  </si>
  <si>
    <t>Repayment Of Debt</t>
  </si>
  <si>
    <t>Repurchase Of Capital Stock</t>
  </si>
  <si>
    <t>Cash Dividends Paid</t>
  </si>
  <si>
    <t>Common Stock Issuance</t>
  </si>
  <si>
    <t>Other Financing</t>
  </si>
  <si>
    <t>CFF</t>
  </si>
  <si>
    <t>Changes In Cash</t>
  </si>
  <si>
    <t>Supplementary Adj</t>
  </si>
  <si>
    <t>Beginning Cash Position</t>
  </si>
  <si>
    <t>End Cash Position</t>
  </si>
  <si>
    <t>OCF</t>
  </si>
  <si>
    <t>Cap Ex</t>
  </si>
  <si>
    <t>FCF</t>
  </si>
  <si>
    <t>CFGrowth</t>
  </si>
  <si>
    <t>CXChange</t>
  </si>
  <si>
    <t>FCFGrowth</t>
  </si>
  <si>
    <t>FCFMargin</t>
  </si>
  <si>
    <t>Cash &amp; Short Inv</t>
  </si>
  <si>
    <t>Accounts Receivable</t>
  </si>
  <si>
    <t>Inventory</t>
  </si>
  <si>
    <t>Other Current Assets</t>
  </si>
  <si>
    <t>Current Assets</t>
  </si>
  <si>
    <t>PPE</t>
  </si>
  <si>
    <t>Goodwill</t>
  </si>
  <si>
    <t>Other Assets</t>
  </si>
  <si>
    <t>Non-Current Assets</t>
  </si>
  <si>
    <t>Total Assets</t>
  </si>
  <si>
    <t>Accounts Payable</t>
  </si>
  <si>
    <t>Short Term Debt</t>
  </si>
  <si>
    <t>Other Current Liabilities</t>
  </si>
  <si>
    <t>Current Liabilities</t>
  </si>
  <si>
    <t>Long Term Debt</t>
  </si>
  <si>
    <t>Other Liabilities</t>
  </si>
  <si>
    <t>Non-Current Liabilities</t>
  </si>
  <si>
    <t>Total Liabilities</t>
  </si>
  <si>
    <t>Additional Paid In Capital</t>
  </si>
  <si>
    <t>Retained Earnings</t>
  </si>
  <si>
    <t>Accumulated Other Changes</t>
  </si>
  <si>
    <t>Stockholders Equity</t>
  </si>
  <si>
    <t>Non-Controlling Interest</t>
  </si>
  <si>
    <t>Total Equity</t>
  </si>
  <si>
    <t>Common Stock Equity</t>
  </si>
  <si>
    <t>Total Debt</t>
  </si>
  <si>
    <t>Net Debt</t>
  </si>
  <si>
    <t>Tangible Assets</t>
  </si>
  <si>
    <t>Invested Capital</t>
  </si>
  <si>
    <t>NCAV</t>
  </si>
  <si>
    <t>Shares</t>
  </si>
  <si>
    <t>D_E</t>
  </si>
  <si>
    <t>Assets Growth</t>
  </si>
  <si>
    <t>TAGrowth</t>
  </si>
  <si>
    <t>Equity Growth</t>
  </si>
  <si>
    <t>ICGrowth</t>
  </si>
  <si>
    <t>Price</t>
  </si>
  <si>
    <t>MC</t>
  </si>
  <si>
    <t>Cash</t>
  </si>
  <si>
    <t>Debt</t>
  </si>
  <si>
    <t>EV</t>
  </si>
  <si>
    <t>Mautiryt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</si>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</sst>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" fontId="0" fillId="2" borderId="0" xfId="0" applyNumberFormat="1" applyFill="1"/>
    <xf numFmtId="9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e%20Stateme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9"/>
  <sheetViews>
    <sheetView workbookViewId="0"/>
  </sheetViews>
  <sheetFormatPr defaultRowHeight="14.25" x14ac:dyDescent="0.45"/>
  <cols>
    <col min="2" max="2" width="12.73046875" customWidth="1"/>
    <col min="9" max="9" width="8.73046875" customWidth="1"/>
  </cols>
  <sheetData>
    <row r="3" spans="2:10" x14ac:dyDescent="0.45">
      <c r="B3" s="1" t="s">
        <v>0</v>
      </c>
      <c r="I3" s="1" t="s">
        <v>89</v>
      </c>
      <c r="J3" s="2">
        <v>128.85</v>
      </c>
    </row>
    <row r="4" spans="2:10" x14ac:dyDescent="0.45">
      <c r="I4" s="1" t="s">
        <v>83</v>
      </c>
      <c r="J4" s="3">
        <v>7972.8513798059766</v>
      </c>
    </row>
    <row r="5" spans="2:10" x14ac:dyDescent="0.45">
      <c r="I5" s="1" t="s">
        <v>90</v>
      </c>
      <c r="J5" s="3">
        <f>J3*J4</f>
        <v>1027301.900288</v>
      </c>
    </row>
    <row r="6" spans="2:10" x14ac:dyDescent="0.45">
      <c r="I6" s="1" t="s">
        <v>91</v>
      </c>
      <c r="J6" s="3">
        <v>10582</v>
      </c>
    </row>
    <row r="7" spans="2:10" x14ac:dyDescent="0.45">
      <c r="I7" s="1" t="s">
        <v>92</v>
      </c>
      <c r="J7" s="3">
        <v>68424</v>
      </c>
    </row>
    <row r="8" spans="2:10" x14ac:dyDescent="0.45">
      <c r="I8" s="1" t="s">
        <v>93</v>
      </c>
      <c r="J8" s="3">
        <f>J5+J7-J6</f>
        <v>1085143.900288</v>
      </c>
    </row>
    <row r="9" spans="2:10" x14ac:dyDescent="0.45">
      <c r="J9" s="4" t="e">
        <f>J8/'[1]Income Statement'!E10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K26"/>
  <sheetViews>
    <sheetView tabSelected="1" workbookViewId="0">
      <selection activeCell="G5" sqref="G5:J5"/>
    </sheetView>
  </sheetViews>
  <sheetFormatPr defaultRowHeight="14.25" x14ac:dyDescent="0.45"/>
  <cols>
    <col min="2" max="2" width="20.73046875" customWidth="1"/>
  </cols>
  <sheetData>
    <row r="2" spans="2:10" x14ac:dyDescent="0.45">
      <c r="C2" s="5">
        <v>2021</v>
      </c>
      <c r="D2" s="5">
        <v>2022</v>
      </c>
      <c r="E2" s="5">
        <v>2023</v>
      </c>
      <c r="F2" s="5">
        <v>2024</v>
      </c>
      <c r="G2" s="7">
        <f>F2+1</f>
        <v>2025</v>
      </c>
      <c r="H2" s="7">
        <f t="shared" ref="H2:J2" si="0">G2+1</f>
        <v>2026</v>
      </c>
      <c r="I2" s="7">
        <f t="shared" si="0"/>
        <v>2027</v>
      </c>
      <c r="J2" s="7">
        <f t="shared" si="0"/>
        <v>2028</v>
      </c>
    </row>
    <row r="3" spans="2:10" x14ac:dyDescent="0.45">
      <c r="B3" s="1" t="s">
        <v>1</v>
      </c>
      <c r="C3" s="3">
        <v>572754</v>
      </c>
      <c r="D3" s="3">
        <v>611289</v>
      </c>
      <c r="E3" s="3">
        <v>648125</v>
      </c>
      <c r="F3" s="3">
        <v>680985</v>
      </c>
      <c r="G3" s="3">
        <f>F3*1.03</f>
        <v>701414.55</v>
      </c>
      <c r="H3" s="3">
        <f t="shared" ref="H3:J3" si="1">G3*1.03</f>
        <v>722456.98650000012</v>
      </c>
      <c r="I3" s="3">
        <f t="shared" si="1"/>
        <v>744130.69609500014</v>
      </c>
      <c r="J3" s="3">
        <f t="shared" si="1"/>
        <v>766454.61697785021</v>
      </c>
    </row>
    <row r="4" spans="2:10" x14ac:dyDescent="0.45">
      <c r="B4" s="1" t="s">
        <v>2</v>
      </c>
      <c r="C4" s="3">
        <v>-429000</v>
      </c>
      <c r="D4" s="3">
        <v>-463721</v>
      </c>
      <c r="E4" s="3">
        <v>-490142</v>
      </c>
      <c r="F4" s="3">
        <v>-511753</v>
      </c>
      <c r="G4" s="3">
        <v>-511753</v>
      </c>
      <c r="H4" s="3">
        <v>-511753</v>
      </c>
      <c r="I4" s="3">
        <v>-511753</v>
      </c>
      <c r="J4" s="3">
        <v>-511753</v>
      </c>
    </row>
    <row r="5" spans="2:10" x14ac:dyDescent="0.45">
      <c r="B5" s="1" t="s">
        <v>3</v>
      </c>
      <c r="C5" s="3">
        <f>C3+C4</f>
        <v>143754</v>
      </c>
      <c r="D5" s="3">
        <f>D3+D4</f>
        <v>147568</v>
      </c>
      <c r="E5" s="3">
        <f>E3+E4</f>
        <v>157983</v>
      </c>
      <c r="F5" s="3">
        <f>F3+F4</f>
        <v>169232</v>
      </c>
      <c r="G5" s="3">
        <f>G3*(F5/F3+0.001)</f>
        <v>175010.37455000001</v>
      </c>
      <c r="H5" s="3">
        <f t="shared" ref="H5:J5" si="2">H3*(G5/G3+0.001)</f>
        <v>180983.14277300003</v>
      </c>
      <c r="I5" s="3">
        <f t="shared" si="2"/>
        <v>187156.76775228503</v>
      </c>
      <c r="J5" s="3">
        <f t="shared" si="2"/>
        <v>193537.92540183145</v>
      </c>
    </row>
    <row r="6" spans="2:10" x14ac:dyDescent="0.45">
      <c r="B6" s="1" t="s">
        <v>4</v>
      </c>
      <c r="C6" s="3">
        <v>-117812</v>
      </c>
      <c r="D6" s="3">
        <v>-127140</v>
      </c>
      <c r="E6" s="3">
        <v>-130971</v>
      </c>
      <c r="F6" s="3">
        <v>-139884</v>
      </c>
      <c r="G6" s="3">
        <v>-139884</v>
      </c>
      <c r="H6" s="3">
        <v>-139884</v>
      </c>
      <c r="I6" s="3">
        <v>-139884</v>
      </c>
      <c r="J6" s="3">
        <v>-139884</v>
      </c>
    </row>
    <row r="7" spans="2:10" x14ac:dyDescent="0.45">
      <c r="B7" s="1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2:10" x14ac:dyDescent="0.45">
      <c r="B8" s="1" t="s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2:10" x14ac:dyDescent="0.45">
      <c r="B9" s="1" t="s">
        <v>7</v>
      </c>
      <c r="C9" s="3">
        <f>C6+C7+C8</f>
        <v>-117812</v>
      </c>
      <c r="D9" s="3">
        <f>D6+D7+D8</f>
        <v>-127140</v>
      </c>
      <c r="E9" s="3">
        <f>E6+E7+E8</f>
        <v>-130971</v>
      </c>
      <c r="F9" s="3">
        <f>F6+F7+F8</f>
        <v>-139884</v>
      </c>
      <c r="G9" s="3">
        <f>G6+G7+G8</f>
        <v>-139884</v>
      </c>
      <c r="H9" s="3">
        <f t="shared" ref="H9:J9" si="3">H6+H7+H8</f>
        <v>-139884</v>
      </c>
      <c r="I9" s="3">
        <f t="shared" si="3"/>
        <v>-139884</v>
      </c>
      <c r="J9" s="3">
        <f t="shared" si="3"/>
        <v>-139884</v>
      </c>
    </row>
    <row r="10" spans="2:10" x14ac:dyDescent="0.45">
      <c r="B10" s="1" t="s">
        <v>8</v>
      </c>
      <c r="C10" s="3">
        <f>C5+C9</f>
        <v>25942</v>
      </c>
      <c r="D10" s="3">
        <f>D5+D9</f>
        <v>20428</v>
      </c>
      <c r="E10" s="3">
        <f>E5+E9</f>
        <v>27012</v>
      </c>
      <c r="F10" s="3">
        <f>F5+F9</f>
        <v>29348</v>
      </c>
      <c r="G10" s="3">
        <f>G5+G9</f>
        <v>35126.374550000008</v>
      </c>
      <c r="H10" s="3">
        <f t="shared" ref="H10:J10" si="4">H5+H9</f>
        <v>41099.142773000029</v>
      </c>
      <c r="I10" s="3">
        <f t="shared" si="4"/>
        <v>47272.767752285028</v>
      </c>
      <c r="J10" s="3">
        <f t="shared" si="4"/>
        <v>53653.925401831453</v>
      </c>
    </row>
    <row r="11" spans="2:10" x14ac:dyDescent="0.45">
      <c r="B11" s="1" t="s">
        <v>9</v>
      </c>
      <c r="C11" s="3">
        <v>-1836</v>
      </c>
      <c r="D11" s="3">
        <v>-1874</v>
      </c>
      <c r="E11" s="3">
        <v>-2137</v>
      </c>
      <c r="F11" s="3">
        <v>-2245</v>
      </c>
      <c r="G11" s="3">
        <v>-2245</v>
      </c>
      <c r="H11" s="3">
        <v>-2245</v>
      </c>
      <c r="I11" s="3">
        <v>-2245</v>
      </c>
      <c r="J11" s="3">
        <v>-2245</v>
      </c>
    </row>
    <row r="12" spans="2:10" x14ac:dyDescent="0.45">
      <c r="B12" s="1" t="s">
        <v>10</v>
      </c>
      <c r="C12" s="3">
        <v>-5410</v>
      </c>
      <c r="D12" s="3">
        <v>-1538</v>
      </c>
      <c r="E12" s="3">
        <v>-3027</v>
      </c>
      <c r="F12" s="3">
        <v>-794</v>
      </c>
      <c r="G12" s="3">
        <v>-794</v>
      </c>
      <c r="H12" s="3">
        <v>-794</v>
      </c>
      <c r="I12" s="3">
        <v>-794</v>
      </c>
      <c r="J12" s="3">
        <v>-794</v>
      </c>
    </row>
    <row r="13" spans="2:10" x14ac:dyDescent="0.45">
      <c r="B13" s="1" t="s">
        <v>11</v>
      </c>
      <c r="C13" s="3">
        <f>C10+C11+C12</f>
        <v>18696</v>
      </c>
      <c r="D13" s="3">
        <f>D10+D11+D12</f>
        <v>17016</v>
      </c>
      <c r="E13" s="3">
        <f>E10+E11+E12</f>
        <v>21848</v>
      </c>
      <c r="F13" s="3">
        <f>F10+F11+F12</f>
        <v>26309</v>
      </c>
      <c r="G13" s="3">
        <f>G10+G11+G12</f>
        <v>32087.374550000008</v>
      </c>
      <c r="H13" s="3">
        <f t="shared" ref="H13:J13" si="5">H10+H11+H12</f>
        <v>38060.142773000029</v>
      </c>
      <c r="I13" s="3">
        <f t="shared" si="5"/>
        <v>44233.767752285028</v>
      </c>
      <c r="J13" s="3">
        <f t="shared" si="5"/>
        <v>50614.925401831453</v>
      </c>
    </row>
    <row r="14" spans="2:10" x14ac:dyDescent="0.45">
      <c r="B14" s="1" t="s">
        <v>12</v>
      </c>
      <c r="C14" s="3">
        <v>-4756</v>
      </c>
      <c r="D14" s="3">
        <v>-5724</v>
      </c>
      <c r="E14" s="3">
        <v>-5578</v>
      </c>
      <c r="F14" s="3">
        <v>-6152</v>
      </c>
      <c r="G14" s="3">
        <v>-6152</v>
      </c>
      <c r="H14" s="3">
        <v>-6152</v>
      </c>
      <c r="I14" s="3">
        <v>-6152</v>
      </c>
      <c r="J14" s="3">
        <v>-6152</v>
      </c>
    </row>
    <row r="15" spans="2:10" x14ac:dyDescent="0.45">
      <c r="B15" s="1" t="s">
        <v>13</v>
      </c>
      <c r="C15" s="3">
        <v>-267</v>
      </c>
      <c r="D15" s="3">
        <v>388</v>
      </c>
      <c r="E15" s="3">
        <v>-759</v>
      </c>
      <c r="F15" s="3">
        <v>-721</v>
      </c>
      <c r="G15" s="3">
        <v>-721</v>
      </c>
      <c r="H15" s="3">
        <v>-721</v>
      </c>
      <c r="I15" s="3">
        <v>-721</v>
      </c>
      <c r="J15" s="3">
        <v>-721</v>
      </c>
    </row>
    <row r="16" spans="2:10" x14ac:dyDescent="0.45">
      <c r="B16" s="1" t="s">
        <v>14</v>
      </c>
      <c r="C16" s="3">
        <f>C13+C14+C15</f>
        <v>13673</v>
      </c>
      <c r="D16" s="3">
        <f>D13+D14+D15</f>
        <v>11680</v>
      </c>
      <c r="E16" s="3">
        <f>E13+E14+E15</f>
        <v>15511</v>
      </c>
      <c r="F16" s="3">
        <f>F13+F14+F15</f>
        <v>19436</v>
      </c>
      <c r="G16" s="3">
        <f>G13+G14+G15</f>
        <v>25214.374550000008</v>
      </c>
      <c r="H16" s="3">
        <f t="shared" ref="H16:J16" si="6">H13+H14+H15</f>
        <v>31187.142773000029</v>
      </c>
      <c r="I16" s="3">
        <f t="shared" si="6"/>
        <v>37360.767752285028</v>
      </c>
      <c r="J16" s="3">
        <f t="shared" si="6"/>
        <v>43741.925401831453</v>
      </c>
    </row>
    <row r="17" spans="2:167" x14ac:dyDescent="0.45">
      <c r="B17" s="1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2:167" x14ac:dyDescent="0.45">
      <c r="B18" s="1" t="s">
        <v>16</v>
      </c>
      <c r="C18" s="3">
        <f>C16+C17</f>
        <v>13673</v>
      </c>
      <c r="D18" s="3">
        <f>D16+D17</f>
        <v>11680</v>
      </c>
      <c r="E18" s="3">
        <f>E16+E17</f>
        <v>15511</v>
      </c>
      <c r="F18" s="3">
        <f>F16+F17</f>
        <v>19436</v>
      </c>
      <c r="G18" s="3">
        <f>G16+G17</f>
        <v>25214.374550000008</v>
      </c>
      <c r="H18" s="3">
        <f t="shared" ref="H18:J18" si="7">H16+H17</f>
        <v>31187.142773000029</v>
      </c>
      <c r="I18" s="3">
        <f t="shared" si="7"/>
        <v>37360.767752285028</v>
      </c>
      <c r="J18" s="3">
        <f t="shared" si="7"/>
        <v>43741.925401831453</v>
      </c>
      <c r="K18" s="3">
        <f>J18*(1+$M$22)</f>
        <v>44179.344655849767</v>
      </c>
      <c r="L18" s="3">
        <f t="shared" ref="L18:BW18" si="8">K18*(1+$M$22)</f>
        <v>44621.138102408266</v>
      </c>
      <c r="M18" s="3">
        <f t="shared" si="8"/>
        <v>45067.34948343235</v>
      </c>
      <c r="N18" s="3">
        <f t="shared" si="8"/>
        <v>45518.022978266672</v>
      </c>
      <c r="O18" s="3">
        <f t="shared" si="8"/>
        <v>45973.203208049337</v>
      </c>
      <c r="P18" s="3">
        <f t="shared" si="8"/>
        <v>46432.935240129831</v>
      </c>
      <c r="Q18" s="3">
        <f t="shared" si="8"/>
        <v>46897.26459253113</v>
      </c>
      <c r="R18" s="3">
        <f t="shared" si="8"/>
        <v>47366.237238456444</v>
      </c>
      <c r="S18" s="3">
        <f t="shared" si="8"/>
        <v>47839.899610841007</v>
      </c>
      <c r="T18" s="3">
        <f t="shared" si="8"/>
        <v>48318.298606949415</v>
      </c>
      <c r="U18" s="3">
        <f t="shared" si="8"/>
        <v>48801.481593018907</v>
      </c>
      <c r="V18" s="3">
        <f t="shared" si="8"/>
        <v>49289.496408949097</v>
      </c>
      <c r="W18" s="3">
        <f t="shared" si="8"/>
        <v>49782.39137303859</v>
      </c>
      <c r="X18" s="3">
        <f t="shared" si="8"/>
        <v>50280.21528676898</v>
      </c>
      <c r="Y18" s="3">
        <f t="shared" si="8"/>
        <v>50783.017439636671</v>
      </c>
      <c r="Z18" s="3">
        <f t="shared" si="8"/>
        <v>51290.847614033039</v>
      </c>
      <c r="AA18" s="3">
        <f t="shared" si="8"/>
        <v>51803.756090173367</v>
      </c>
      <c r="AB18" s="3">
        <f t="shared" si="8"/>
        <v>52321.793651075102</v>
      </c>
      <c r="AC18" s="3">
        <f t="shared" si="8"/>
        <v>52845.011587585854</v>
      </c>
      <c r="AD18" s="3">
        <f t="shared" si="8"/>
        <v>53373.461703461711</v>
      </c>
      <c r="AE18" s="3">
        <f t="shared" si="8"/>
        <v>53907.196320496332</v>
      </c>
      <c r="AF18" s="3">
        <f t="shared" si="8"/>
        <v>54446.268283701298</v>
      </c>
      <c r="AG18" s="3">
        <f t="shared" si="8"/>
        <v>54990.730966538315</v>
      </c>
      <c r="AH18" s="3">
        <f t="shared" si="8"/>
        <v>55540.638276203696</v>
      </c>
      <c r="AI18" s="3">
        <f t="shared" si="8"/>
        <v>56096.044658965729</v>
      </c>
      <c r="AJ18" s="3">
        <f t="shared" si="8"/>
        <v>56657.005105555385</v>
      </c>
      <c r="AK18" s="3">
        <f t="shared" si="8"/>
        <v>57223.575156610939</v>
      </c>
      <c r="AL18" s="3">
        <f t="shared" si="8"/>
        <v>57795.810908177053</v>
      </c>
      <c r="AM18" s="3">
        <f t="shared" si="8"/>
        <v>58373.769017258826</v>
      </c>
      <c r="AN18" s="3">
        <f t="shared" si="8"/>
        <v>58957.506707431414</v>
      </c>
      <c r="AO18" s="3">
        <f t="shared" si="8"/>
        <v>59547.081774505728</v>
      </c>
      <c r="AP18" s="3">
        <f t="shared" si="8"/>
        <v>60142.552592250788</v>
      </c>
      <c r="AQ18" s="3">
        <f t="shared" si="8"/>
        <v>60743.978118173298</v>
      </c>
      <c r="AR18" s="3">
        <f t="shared" si="8"/>
        <v>61351.41789935503</v>
      </c>
      <c r="AS18" s="3">
        <f t="shared" si="8"/>
        <v>61964.932078348582</v>
      </c>
      <c r="AT18" s="3">
        <f t="shared" si="8"/>
        <v>62584.581399132068</v>
      </c>
      <c r="AU18" s="3">
        <f t="shared" si="8"/>
        <v>63210.427213123388</v>
      </c>
      <c r="AV18" s="3">
        <f t="shared" si="8"/>
        <v>63842.531485254622</v>
      </c>
      <c r="AW18" s="3">
        <f t="shared" si="8"/>
        <v>64480.956800107168</v>
      </c>
      <c r="AX18" s="3">
        <f t="shared" si="8"/>
        <v>65125.766368108241</v>
      </c>
      <c r="AY18" s="3">
        <f t="shared" si="8"/>
        <v>65777.024031789319</v>
      </c>
      <c r="AZ18" s="3">
        <f t="shared" si="8"/>
        <v>66434.794272107218</v>
      </c>
      <c r="BA18" s="3">
        <f t="shared" si="8"/>
        <v>67099.142214828287</v>
      </c>
      <c r="BB18" s="3">
        <f t="shared" si="8"/>
        <v>67770.133636976578</v>
      </c>
      <c r="BC18" s="3">
        <f t="shared" si="8"/>
        <v>68447.83497334634</v>
      </c>
      <c r="BD18" s="3">
        <f t="shared" si="8"/>
        <v>69132.313323079798</v>
      </c>
      <c r="BE18" s="3">
        <f t="shared" si="8"/>
        <v>69823.636456310589</v>
      </c>
      <c r="BF18" s="3">
        <f t="shared" si="8"/>
        <v>70521.872820873701</v>
      </c>
      <c r="BG18" s="3">
        <f t="shared" si="8"/>
        <v>71227.091549082441</v>
      </c>
      <c r="BH18" s="3">
        <f t="shared" si="8"/>
        <v>71939.362464573263</v>
      </c>
      <c r="BI18" s="3">
        <f t="shared" si="8"/>
        <v>72658.756089218994</v>
      </c>
      <c r="BJ18" s="3">
        <f t="shared" si="8"/>
        <v>73385.343650111186</v>
      </c>
      <c r="BK18" s="3">
        <f t="shared" si="8"/>
        <v>74119.197086612301</v>
      </c>
      <c r="BL18" s="3">
        <f t="shared" si="8"/>
        <v>74860.389057478431</v>
      </c>
      <c r="BM18" s="3">
        <f t="shared" si="8"/>
        <v>75608.992948053216</v>
      </c>
      <c r="BN18" s="3">
        <f t="shared" si="8"/>
        <v>76365.082877533743</v>
      </c>
      <c r="BO18" s="3">
        <f t="shared" si="8"/>
        <v>77128.733706309082</v>
      </c>
      <c r="BP18" s="3">
        <f t="shared" si="8"/>
        <v>77900.02104337218</v>
      </c>
      <c r="BQ18" s="3">
        <f t="shared" si="8"/>
        <v>78679.021253805899</v>
      </c>
      <c r="BR18" s="3">
        <f t="shared" si="8"/>
        <v>79465.811466343963</v>
      </c>
      <c r="BS18" s="3">
        <f t="shared" si="8"/>
        <v>80260.469581007404</v>
      </c>
      <c r="BT18" s="3">
        <f t="shared" si="8"/>
        <v>81063.074276817482</v>
      </c>
      <c r="BU18" s="3">
        <f t="shared" si="8"/>
        <v>81873.705019585657</v>
      </c>
      <c r="BV18" s="3">
        <f t="shared" si="8"/>
        <v>82692.442069781508</v>
      </c>
      <c r="BW18" s="3">
        <f t="shared" si="8"/>
        <v>83519.366490479326</v>
      </c>
      <c r="BX18" s="3">
        <f t="shared" ref="BX18:EI18" si="9">BW18*(1+$M$22)</f>
        <v>84354.560155384126</v>
      </c>
      <c r="BY18" s="3">
        <f t="shared" si="9"/>
        <v>85198.105756937963</v>
      </c>
      <c r="BZ18" s="3">
        <f t="shared" si="9"/>
        <v>86050.086814507347</v>
      </c>
      <c r="CA18" s="3">
        <f t="shared" si="9"/>
        <v>86910.587682652418</v>
      </c>
      <c r="CB18" s="3">
        <f t="shared" si="9"/>
        <v>87779.693559478939</v>
      </c>
      <c r="CC18" s="3">
        <f t="shared" si="9"/>
        <v>88657.490495073725</v>
      </c>
      <c r="CD18" s="3">
        <f t="shared" si="9"/>
        <v>89544.065400024469</v>
      </c>
      <c r="CE18" s="3">
        <f t="shared" si="9"/>
        <v>90439.506054024707</v>
      </c>
      <c r="CF18" s="3">
        <f t="shared" si="9"/>
        <v>91343.901114564957</v>
      </c>
      <c r="CG18" s="3">
        <f t="shared" si="9"/>
        <v>92257.340125710602</v>
      </c>
      <c r="CH18" s="3">
        <f t="shared" si="9"/>
        <v>93179.913526967706</v>
      </c>
      <c r="CI18" s="3">
        <f t="shared" si="9"/>
        <v>94111.712662237391</v>
      </c>
      <c r="CJ18" s="3">
        <f t="shared" si="9"/>
        <v>95052.829788859759</v>
      </c>
      <c r="CK18" s="3">
        <f t="shared" si="9"/>
        <v>96003.358086748354</v>
      </c>
      <c r="CL18" s="3">
        <f t="shared" si="9"/>
        <v>96963.391667615841</v>
      </c>
      <c r="CM18" s="3">
        <f t="shared" si="9"/>
        <v>97933.025584292001</v>
      </c>
      <c r="CN18" s="3">
        <f t="shared" si="9"/>
        <v>98912.355840134929</v>
      </c>
      <c r="CO18" s="3">
        <f t="shared" si="9"/>
        <v>99901.479398536278</v>
      </c>
      <c r="CP18" s="3">
        <f t="shared" si="9"/>
        <v>100900.49419252164</v>
      </c>
      <c r="CQ18" s="3">
        <f t="shared" si="9"/>
        <v>101909.49913444686</v>
      </c>
      <c r="CR18" s="3">
        <f t="shared" si="9"/>
        <v>102928.59412579132</v>
      </c>
      <c r="CS18" s="3">
        <f t="shared" si="9"/>
        <v>103957.88006704923</v>
      </c>
      <c r="CT18" s="3">
        <f t="shared" si="9"/>
        <v>104997.45886771973</v>
      </c>
      <c r="CU18" s="3">
        <f t="shared" si="9"/>
        <v>106047.43345639693</v>
      </c>
      <c r="CV18" s="3">
        <f t="shared" si="9"/>
        <v>107107.9077909609</v>
      </c>
      <c r="CW18" s="3">
        <f t="shared" si="9"/>
        <v>108178.98686887052</v>
      </c>
      <c r="CX18" s="3">
        <f t="shared" si="9"/>
        <v>109260.77673755922</v>
      </c>
      <c r="CY18" s="3">
        <f t="shared" si="9"/>
        <v>110353.38450493482</v>
      </c>
      <c r="CZ18" s="3">
        <f t="shared" si="9"/>
        <v>111456.91834998416</v>
      </c>
      <c r="DA18" s="3">
        <f t="shared" si="9"/>
        <v>112571.487533484</v>
      </c>
      <c r="DB18" s="3">
        <f t="shared" si="9"/>
        <v>113697.20240881885</v>
      </c>
      <c r="DC18" s="3">
        <f t="shared" si="9"/>
        <v>114834.17443290704</v>
      </c>
      <c r="DD18" s="3">
        <f t="shared" si="9"/>
        <v>115982.5161772361</v>
      </c>
      <c r="DE18" s="3">
        <f t="shared" si="9"/>
        <v>117142.34133900846</v>
      </c>
      <c r="DF18" s="3">
        <f t="shared" si="9"/>
        <v>118313.76475239855</v>
      </c>
      <c r="DG18" s="3">
        <f t="shared" si="9"/>
        <v>119496.90239992253</v>
      </c>
      <c r="DH18" s="3">
        <f t="shared" si="9"/>
        <v>120691.87142392175</v>
      </c>
      <c r="DI18" s="3">
        <f t="shared" si="9"/>
        <v>121898.79013816097</v>
      </c>
      <c r="DJ18" s="3">
        <f t="shared" si="9"/>
        <v>123117.77803954258</v>
      </c>
      <c r="DK18" s="3">
        <f t="shared" si="9"/>
        <v>124348.95581993801</v>
      </c>
      <c r="DL18" s="3">
        <f t="shared" si="9"/>
        <v>125592.44537813739</v>
      </c>
      <c r="DM18" s="3">
        <f t="shared" si="9"/>
        <v>126848.36983191877</v>
      </c>
      <c r="DN18" s="3">
        <f t="shared" si="9"/>
        <v>128116.85353023796</v>
      </c>
      <c r="DO18" s="3">
        <f t="shared" si="9"/>
        <v>129398.02206554034</v>
      </c>
      <c r="DP18" s="3">
        <f t="shared" si="9"/>
        <v>130692.00228619574</v>
      </c>
      <c r="DQ18" s="3">
        <f t="shared" si="9"/>
        <v>131998.9223090577</v>
      </c>
      <c r="DR18" s="3">
        <f t="shared" si="9"/>
        <v>133318.91153214828</v>
      </c>
      <c r="DS18" s="3">
        <f t="shared" si="9"/>
        <v>134652.10064746978</v>
      </c>
      <c r="DT18" s="3">
        <f t="shared" si="9"/>
        <v>135998.62165394449</v>
      </c>
      <c r="DU18" s="3">
        <f t="shared" si="9"/>
        <v>137358.60787048395</v>
      </c>
      <c r="DV18" s="3">
        <f t="shared" si="9"/>
        <v>138732.19394918878</v>
      </c>
      <c r="DW18" s="3">
        <f t="shared" si="9"/>
        <v>140119.51588868067</v>
      </c>
      <c r="DX18" s="3">
        <f t="shared" si="9"/>
        <v>141520.71104756749</v>
      </c>
      <c r="DY18" s="3">
        <f t="shared" si="9"/>
        <v>142935.91815804318</v>
      </c>
      <c r="DZ18" s="3">
        <f t="shared" si="9"/>
        <v>144365.2773396236</v>
      </c>
      <c r="EA18" s="3">
        <f t="shared" si="9"/>
        <v>145808.93011301983</v>
      </c>
      <c r="EB18" s="3">
        <f t="shared" si="9"/>
        <v>147267.01941415004</v>
      </c>
      <c r="EC18" s="3">
        <f t="shared" si="9"/>
        <v>148739.68960829155</v>
      </c>
      <c r="ED18" s="3">
        <f t="shared" si="9"/>
        <v>150227.08650437446</v>
      </c>
      <c r="EE18" s="3">
        <f t="shared" si="9"/>
        <v>151729.3573694182</v>
      </c>
      <c r="EF18" s="3">
        <f t="shared" si="9"/>
        <v>153246.65094311238</v>
      </c>
      <c r="EG18" s="3">
        <f t="shared" si="9"/>
        <v>154779.11745254352</v>
      </c>
      <c r="EH18" s="3">
        <f t="shared" si="9"/>
        <v>156326.90862706894</v>
      </c>
      <c r="EI18" s="3">
        <f t="shared" si="9"/>
        <v>157890.17771333962</v>
      </c>
      <c r="EJ18" s="3">
        <f t="shared" ref="EJ18:FK18" si="10">EI18*(1+$M$22)</f>
        <v>159469.07949047303</v>
      </c>
      <c r="EK18" s="3">
        <f t="shared" si="10"/>
        <v>161063.77028537777</v>
      </c>
      <c r="EL18" s="3">
        <f t="shared" si="10"/>
        <v>162674.40798823154</v>
      </c>
      <c r="EM18" s="3">
        <f t="shared" si="10"/>
        <v>164301.15206811385</v>
      </c>
      <c r="EN18" s="3">
        <f t="shared" si="10"/>
        <v>165944.163588795</v>
      </c>
      <c r="EO18" s="3">
        <f t="shared" si="10"/>
        <v>167603.60522468295</v>
      </c>
      <c r="EP18" s="3">
        <f t="shared" si="10"/>
        <v>169279.64127692979</v>
      </c>
      <c r="EQ18" s="3">
        <f t="shared" si="10"/>
        <v>170972.43768969909</v>
      </c>
      <c r="ER18" s="3">
        <f t="shared" si="10"/>
        <v>172682.16206659607</v>
      </c>
      <c r="ES18" s="3">
        <f t="shared" si="10"/>
        <v>174408.98368726202</v>
      </c>
      <c r="ET18" s="3">
        <f t="shared" si="10"/>
        <v>176153.07352413464</v>
      </c>
      <c r="EU18" s="3">
        <f t="shared" si="10"/>
        <v>177914.60425937598</v>
      </c>
      <c r="EV18" s="3">
        <f t="shared" si="10"/>
        <v>179693.75030196973</v>
      </c>
      <c r="EW18" s="3">
        <f t="shared" si="10"/>
        <v>181490.68780498943</v>
      </c>
      <c r="EX18" s="3">
        <f t="shared" si="10"/>
        <v>183305.59468303932</v>
      </c>
      <c r="EY18" s="3">
        <f t="shared" si="10"/>
        <v>185138.65062986972</v>
      </c>
      <c r="EZ18" s="3">
        <f t="shared" si="10"/>
        <v>186990.03713616842</v>
      </c>
      <c r="FA18" s="3">
        <f t="shared" si="10"/>
        <v>188859.93750753012</v>
      </c>
      <c r="FB18" s="3">
        <f t="shared" si="10"/>
        <v>190748.53688260543</v>
      </c>
      <c r="FC18" s="3">
        <f t="shared" si="10"/>
        <v>192656.02225143148</v>
      </c>
      <c r="FD18" s="3">
        <f t="shared" si="10"/>
        <v>194582.5824739458</v>
      </c>
      <c r="FE18" s="3">
        <f t="shared" si="10"/>
        <v>196528.40829868527</v>
      </c>
      <c r="FF18" s="3">
        <f t="shared" si="10"/>
        <v>198493.69238167212</v>
      </c>
      <c r="FG18" s="3">
        <f t="shared" si="10"/>
        <v>200478.62930548884</v>
      </c>
      <c r="FH18" s="3">
        <f t="shared" si="10"/>
        <v>202483.41559854374</v>
      </c>
      <c r="FI18" s="3">
        <f t="shared" si="10"/>
        <v>204508.24975452918</v>
      </c>
      <c r="FJ18" s="3">
        <f t="shared" si="10"/>
        <v>206553.33225207447</v>
      </c>
      <c r="FK18" s="3">
        <f t="shared" si="10"/>
        <v>208618.86557459523</v>
      </c>
    </row>
    <row r="19" spans="2:167" x14ac:dyDescent="0.45">
      <c r="B19" s="1" t="s">
        <v>17</v>
      </c>
      <c r="C19" s="3">
        <v>8415</v>
      </c>
      <c r="D19" s="3">
        <v>8202</v>
      </c>
      <c r="E19" s="3">
        <v>8109</v>
      </c>
      <c r="F19" s="3">
        <v>8081</v>
      </c>
      <c r="G19" s="3">
        <v>8081</v>
      </c>
      <c r="H19" s="3">
        <v>8081</v>
      </c>
      <c r="I19" s="3">
        <v>8081</v>
      </c>
      <c r="J19" s="3">
        <v>8081</v>
      </c>
    </row>
    <row r="20" spans="2:167" x14ac:dyDescent="0.45">
      <c r="B20" s="1"/>
      <c r="C20" s="3"/>
      <c r="D20" s="3"/>
      <c r="E20" s="3"/>
      <c r="F20" s="3"/>
    </row>
    <row r="21" spans="2:167" x14ac:dyDescent="0.45">
      <c r="B21" s="1"/>
      <c r="C21" s="3"/>
      <c r="D21" s="3"/>
      <c r="E21" s="3"/>
      <c r="F21" s="3"/>
    </row>
    <row r="22" spans="2:167" x14ac:dyDescent="0.45">
      <c r="B22" s="1" t="s">
        <v>18</v>
      </c>
      <c r="C22" s="6">
        <v>0</v>
      </c>
      <c r="D22" s="6">
        <f>IFERROR((D3-C3)/C3,0)</f>
        <v>6.7280193590965751E-2</v>
      </c>
      <c r="E22" s="6">
        <f>IFERROR((E3-D3)/D3,0)</f>
        <v>6.0259549901928548E-2</v>
      </c>
      <c r="F22" s="6">
        <f>IFERROR((F3-E3)/E3,0)</f>
        <v>5.070009643201543E-2</v>
      </c>
      <c r="G22" s="6">
        <f t="shared" ref="G22:J22" si="11">IFERROR((G3-F3)/F3,0)</f>
        <v>3.0000000000000068E-2</v>
      </c>
      <c r="H22" s="6">
        <f t="shared" si="11"/>
        <v>3.0000000000000096E-2</v>
      </c>
      <c r="I22" s="6">
        <f t="shared" si="11"/>
        <v>3.0000000000000027E-2</v>
      </c>
      <c r="J22" s="6">
        <f t="shared" si="11"/>
        <v>3.0000000000000089E-2</v>
      </c>
      <c r="L22" t="s">
        <v>94</v>
      </c>
      <c r="M22" s="8">
        <v>0.01</v>
      </c>
    </row>
    <row r="23" spans="2:167" x14ac:dyDescent="0.45">
      <c r="B23" s="1" t="s">
        <v>19</v>
      </c>
      <c r="C23" s="6">
        <f>C5/C3</f>
        <v>0.25098733487675334</v>
      </c>
      <c r="D23" s="6">
        <f>D5/D3</f>
        <v>0.24140463839525986</v>
      </c>
      <c r="E23" s="6">
        <f>E5/E3</f>
        <v>0.24375390549662487</v>
      </c>
      <c r="F23" s="6">
        <f>F5/F3</f>
        <v>0.24851061330278934</v>
      </c>
      <c r="G23" s="6">
        <f t="shared" ref="G23:J23" si="12">G5/G3</f>
        <v>0.24951061330278934</v>
      </c>
      <c r="H23" s="6">
        <f t="shared" si="12"/>
        <v>0.25051061330278934</v>
      </c>
      <c r="I23" s="6">
        <f t="shared" si="12"/>
        <v>0.25151061330278934</v>
      </c>
      <c r="J23" s="6">
        <f t="shared" si="12"/>
        <v>0.25251061330278934</v>
      </c>
      <c r="L23" t="s">
        <v>95</v>
      </c>
      <c r="M23" s="8">
        <v>0.1</v>
      </c>
    </row>
    <row r="24" spans="2:167" x14ac:dyDescent="0.45">
      <c r="B24" s="1" t="s">
        <v>20</v>
      </c>
      <c r="C24" s="6">
        <f>C10/C3</f>
        <v>4.5293441861602016E-2</v>
      </c>
      <c r="D24" s="6">
        <f>D10/D3</f>
        <v>3.3417908714208827E-2</v>
      </c>
      <c r="E24" s="6">
        <f>E10/E3</f>
        <v>4.16771456123433E-2</v>
      </c>
      <c r="F24" s="6">
        <f>F10/F3</f>
        <v>4.3096397130626962E-2</v>
      </c>
      <c r="G24" s="6">
        <f t="shared" ref="G24:J24" si="13">G10/G3</f>
        <v>5.0079335465738492E-2</v>
      </c>
      <c r="H24" s="6">
        <f t="shared" si="13"/>
        <v>5.6888013460992426E-2</v>
      </c>
      <c r="I24" s="6">
        <f t="shared" si="13"/>
        <v>6.352750666026806E-2</v>
      </c>
      <c r="J24" s="6">
        <f t="shared" si="13"/>
        <v>7.0002742776069674E-2</v>
      </c>
      <c r="L24" t="s">
        <v>96</v>
      </c>
      <c r="M24" s="10">
        <f>NPV(M23,G18:FK18)+Main!J6-Main!J7</f>
        <v>384078.91377201444</v>
      </c>
    </row>
    <row r="25" spans="2:167" x14ac:dyDescent="0.45">
      <c r="B25" s="1" t="s">
        <v>21</v>
      </c>
      <c r="C25" s="6">
        <f>C18/C3</f>
        <v>2.3872378019184501E-2</v>
      </c>
      <c r="D25" s="6">
        <f>D18/D3</f>
        <v>1.9107165350595218E-2</v>
      </c>
      <c r="E25" s="6">
        <f>E18/E3</f>
        <v>2.3932111861137896E-2</v>
      </c>
      <c r="F25" s="6">
        <f>F18/F3</f>
        <v>2.8541010448100913E-2</v>
      </c>
      <c r="G25" s="6">
        <f t="shared" ref="G25:J25" si="14">G18/G3</f>
        <v>3.5947892084645244E-2</v>
      </c>
      <c r="H25" s="6">
        <f t="shared" si="14"/>
        <v>4.3168165518183449E-2</v>
      </c>
      <c r="I25" s="6">
        <f t="shared" si="14"/>
        <v>5.0207265939094296E-2</v>
      </c>
      <c r="J25" s="6">
        <f t="shared" si="14"/>
        <v>5.7070470231240782E-2</v>
      </c>
      <c r="L25" t="s">
        <v>89</v>
      </c>
      <c r="M25" s="9">
        <f>M24/Main!J4</f>
        <v>48.173344199645825</v>
      </c>
    </row>
    <row r="26" spans="2:167" x14ac:dyDescent="0.45">
      <c r="L26" t="s">
        <v>97</v>
      </c>
      <c r="M26" s="8">
        <f>M25/Main!J3-1</f>
        <v>-0.62612848894337736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5"/>
  <sheetViews>
    <sheetView topLeftCell="A16" workbookViewId="0">
      <selection activeCell="E3" sqref="E3:H3"/>
    </sheetView>
  </sheetViews>
  <sheetFormatPr defaultRowHeight="14.25" x14ac:dyDescent="0.45"/>
  <cols>
    <col min="2" max="2" width="20.73046875" customWidth="1"/>
  </cols>
  <sheetData>
    <row r="2" spans="2:7" x14ac:dyDescent="0.45"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</row>
    <row r="3" spans="2:7" x14ac:dyDescent="0.45">
      <c r="B3" s="1" t="s">
        <v>1</v>
      </c>
      <c r="C3" s="3">
        <v>169588</v>
      </c>
      <c r="D3" s="3">
        <v>180554</v>
      </c>
      <c r="E3" s="3">
        <v>165609</v>
      </c>
      <c r="F3" s="3">
        <v>177402</v>
      </c>
      <c r="G3" s="3">
        <v>179496</v>
      </c>
    </row>
    <row r="4" spans="2:7" x14ac:dyDescent="0.45">
      <c r="B4" s="1" t="s">
        <v>2</v>
      </c>
      <c r="C4" s="3">
        <v>-127340</v>
      </c>
      <c r="D4" s="3">
        <v>-136172</v>
      </c>
      <c r="E4" s="3">
        <v>-124303</v>
      </c>
      <c r="F4" s="3">
        <v>-132771</v>
      </c>
      <c r="G4" s="3">
        <v>-134706</v>
      </c>
    </row>
    <row r="5" spans="2:7" x14ac:dyDescent="0.45">
      <c r="B5" s="1" t="s">
        <v>3</v>
      </c>
      <c r="C5" s="3">
        <f>C3+C4</f>
        <v>42248</v>
      </c>
      <c r="D5" s="3">
        <f>D3+D4</f>
        <v>44382</v>
      </c>
      <c r="E5" s="3">
        <f>E3+E4</f>
        <v>41306</v>
      </c>
      <c r="F5" s="3">
        <f>F3+F4</f>
        <v>44631</v>
      </c>
      <c r="G5" s="3">
        <f>G3+G4</f>
        <v>44790</v>
      </c>
    </row>
    <row r="6" spans="2:7" x14ac:dyDescent="0.45">
      <c r="B6" s="1" t="s">
        <v>4</v>
      </c>
      <c r="C6" s="3">
        <v>-35540</v>
      </c>
      <c r="D6" s="3">
        <v>-36523</v>
      </c>
      <c r="E6" s="3">
        <v>0</v>
      </c>
      <c r="F6" s="3">
        <v>0</v>
      </c>
      <c r="G6" s="3">
        <v>0</v>
      </c>
    </row>
    <row r="7" spans="2:7" x14ac:dyDescent="0.45">
      <c r="B7" s="1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2:7" x14ac:dyDescent="0.45">
      <c r="B8" s="1" t="s">
        <v>6</v>
      </c>
      <c r="C8" s="3">
        <v>0</v>
      </c>
      <c r="D8" s="3">
        <v>0</v>
      </c>
      <c r="E8" s="3">
        <v>-34171</v>
      </c>
      <c r="F8" s="3">
        <v>-37345</v>
      </c>
      <c r="G8" s="3">
        <v>-38094</v>
      </c>
    </row>
    <row r="9" spans="2:7" x14ac:dyDescent="0.45">
      <c r="B9" s="1" t="s">
        <v>7</v>
      </c>
      <c r="C9" s="3">
        <f>C6+C7+C8</f>
        <v>-35540</v>
      </c>
      <c r="D9" s="3">
        <f>D6+D7+D8</f>
        <v>-36523</v>
      </c>
      <c r="E9" s="3">
        <f>E6+E7+E8</f>
        <v>-34171</v>
      </c>
      <c r="F9" s="3">
        <f>F6+F7+F8</f>
        <v>-37345</v>
      </c>
      <c r="G9" s="3">
        <f>G6+G7+G8</f>
        <v>-38094</v>
      </c>
    </row>
    <row r="10" spans="2:7" x14ac:dyDescent="0.45">
      <c r="B10" s="1" t="s">
        <v>8</v>
      </c>
      <c r="C10" s="3">
        <f>C5+C9</f>
        <v>6708</v>
      </c>
      <c r="D10" s="3">
        <f>D5+D9</f>
        <v>7859</v>
      </c>
      <c r="E10" s="3">
        <f>E5+E9</f>
        <v>7135</v>
      </c>
      <c r="F10" s="3">
        <f>F5+F9</f>
        <v>7286</v>
      </c>
      <c r="G10" s="3">
        <f>G5+G9</f>
        <v>6696</v>
      </c>
    </row>
    <row r="11" spans="2:7" x14ac:dyDescent="0.45">
      <c r="B11" s="1" t="s">
        <v>9</v>
      </c>
      <c r="C11" s="3">
        <v>-478</v>
      </c>
      <c r="D11" s="3">
        <v>-602</v>
      </c>
      <c r="E11" s="3">
        <v>-544</v>
      </c>
      <c r="F11" s="3">
        <v>-675</v>
      </c>
      <c r="G11" s="3">
        <v>-591</v>
      </c>
    </row>
    <row r="12" spans="2:7" x14ac:dyDescent="0.45">
      <c r="B12" s="1" t="s">
        <v>10</v>
      </c>
      <c r="C12" s="3">
        <v>-132</v>
      </c>
      <c r="D12" s="3">
        <v>-294</v>
      </c>
      <c r="E12" s="3">
        <v>-597</v>
      </c>
      <c r="F12" s="3">
        <v>2708</v>
      </c>
      <c r="G12" s="3">
        <v>2081</v>
      </c>
    </row>
    <row r="13" spans="2:7" x14ac:dyDescent="0.45">
      <c r="B13" s="1" t="s">
        <v>11</v>
      </c>
      <c r="C13" s="3">
        <f>C10+C11+C12</f>
        <v>6098</v>
      </c>
      <c r="D13" s="3">
        <f>D10+D11+D12</f>
        <v>6963</v>
      </c>
      <c r="E13" s="3">
        <f>E10+E11+E12</f>
        <v>5994</v>
      </c>
      <c r="F13" s="3">
        <f>F10+F11+F12</f>
        <v>9319</v>
      </c>
      <c r="G13" s="3">
        <f>G10+G11+G12</f>
        <v>8186</v>
      </c>
    </row>
    <row r="14" spans="2:7" x14ac:dyDescent="0.45">
      <c r="B14" s="1" t="s">
        <v>12</v>
      </c>
      <c r="C14" s="3">
        <v>-1384</v>
      </c>
      <c r="D14" s="3">
        <v>-1538</v>
      </c>
      <c r="E14" s="3">
        <v>-1355</v>
      </c>
      <c r="F14" s="3">
        <v>-2168</v>
      </c>
      <c r="G14" s="3">
        <v>-2098</v>
      </c>
    </row>
    <row r="15" spans="2:7" x14ac:dyDescent="0.45">
      <c r="B15" s="1" t="s">
        <v>13</v>
      </c>
      <c r="C15" s="3">
        <v>-137</v>
      </c>
      <c r="D15" s="3">
        <v>-171</v>
      </c>
      <c r="E15" s="3">
        <v>-152</v>
      </c>
      <c r="F15" s="3">
        <v>-125</v>
      </c>
      <c r="G15" s="3">
        <v>55</v>
      </c>
    </row>
    <row r="16" spans="2:7" x14ac:dyDescent="0.45">
      <c r="B16" s="1" t="s">
        <v>14</v>
      </c>
      <c r="C16" s="3">
        <f>C13+C14+C15</f>
        <v>4577</v>
      </c>
      <c r="D16" s="3">
        <f>D13+D14+D15</f>
        <v>5254</v>
      </c>
      <c r="E16" s="3">
        <f>E13+E14+E15</f>
        <v>4487</v>
      </c>
      <c r="F16" s="3">
        <f>F13+F14+F15</f>
        <v>7026</v>
      </c>
      <c r="G16" s="3">
        <f>G13+G14+G15</f>
        <v>6143</v>
      </c>
    </row>
    <row r="17" spans="2:7" x14ac:dyDescent="0.45">
      <c r="B17" s="1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2:7" x14ac:dyDescent="0.45">
      <c r="B18" s="1" t="s">
        <v>16</v>
      </c>
      <c r="C18" s="3">
        <f>C16+C17</f>
        <v>4577</v>
      </c>
      <c r="D18" s="3">
        <f>D16+D17</f>
        <v>5254</v>
      </c>
      <c r="E18" s="3">
        <f>E16+E17</f>
        <v>4487</v>
      </c>
      <c r="F18" s="3">
        <f>F16+F17</f>
        <v>7026</v>
      </c>
      <c r="G18" s="3">
        <f>G16+G17</f>
        <v>6143</v>
      </c>
    </row>
    <row r="19" spans="2:7" x14ac:dyDescent="0.45">
      <c r="B19" s="1" t="s">
        <v>17</v>
      </c>
      <c r="C19" s="3">
        <v>8082</v>
      </c>
      <c r="D19" s="3">
        <v>8078</v>
      </c>
      <c r="E19" s="3">
        <v>8051</v>
      </c>
      <c r="F19" s="3">
        <v>8016</v>
      </c>
      <c r="G19" s="3">
        <v>8011</v>
      </c>
    </row>
    <row r="20" spans="2:7" x14ac:dyDescent="0.45">
      <c r="B20" s="1"/>
      <c r="C20" s="3"/>
      <c r="D20" s="3"/>
      <c r="E20" s="3"/>
      <c r="F20" s="3"/>
      <c r="G20" s="3"/>
    </row>
    <row r="21" spans="2:7" x14ac:dyDescent="0.45">
      <c r="B21" s="1"/>
      <c r="C21" s="3"/>
      <c r="D21" s="3"/>
      <c r="E21" s="3"/>
      <c r="F21" s="3"/>
      <c r="G21" s="3"/>
    </row>
    <row r="22" spans="2:7" x14ac:dyDescent="0.45">
      <c r="B22" s="1" t="s">
        <v>18</v>
      </c>
      <c r="C22" s="6">
        <v>0</v>
      </c>
      <c r="D22" s="6">
        <f>IFERROR((D3-C3)/C3,0)</f>
        <v>6.4662594051465905E-2</v>
      </c>
      <c r="E22" s="6">
        <f>IFERROR((E3-D3)/D3,0)</f>
        <v>-8.2773020813717776E-2</v>
      </c>
      <c r="F22" s="6">
        <f>IFERROR((F3-E3)/E3,0)</f>
        <v>7.1209898012789166E-2</v>
      </c>
      <c r="G22" s="6">
        <f>IFERROR((G3-F3)/F3,0)</f>
        <v>1.1803700071025129E-2</v>
      </c>
    </row>
    <row r="23" spans="2:7" x14ac:dyDescent="0.45">
      <c r="B23" s="1" t="s">
        <v>19</v>
      </c>
      <c r="C23" s="6">
        <f>C5/C3</f>
        <v>0.24912140009906361</v>
      </c>
      <c r="D23" s="6">
        <f>D5/D3</f>
        <v>0.24581011774870676</v>
      </c>
      <c r="E23" s="6">
        <f>E5/E3</f>
        <v>0.24941881177955305</v>
      </c>
      <c r="F23" s="6">
        <f>F5/F3</f>
        <v>0.25158115466567454</v>
      </c>
      <c r="G23" s="6">
        <f>G5/G3</f>
        <v>0.24953202299772698</v>
      </c>
    </row>
    <row r="24" spans="2:7" x14ac:dyDescent="0.45">
      <c r="B24" s="1" t="s">
        <v>20</v>
      </c>
      <c r="C24" s="6">
        <f>C10/C3</f>
        <v>3.9554685473028754E-2</v>
      </c>
      <c r="D24" s="6">
        <f>D10/D3</f>
        <v>4.3527144233858013E-2</v>
      </c>
      <c r="E24" s="6">
        <f>E10/E3</f>
        <v>4.308340730274321E-2</v>
      </c>
      <c r="F24" s="6">
        <f>F10/F3</f>
        <v>4.1070562902334809E-2</v>
      </c>
      <c r="G24" s="6">
        <f>G10/G3</f>
        <v>3.7304452466907341E-2</v>
      </c>
    </row>
    <row r="25" spans="2:7" x14ac:dyDescent="0.45">
      <c r="B25" s="1" t="s">
        <v>21</v>
      </c>
      <c r="C25" s="6">
        <f>C18/C3</f>
        <v>2.6988937896549284E-2</v>
      </c>
      <c r="D25" s="6">
        <f>D18/D3</f>
        <v>2.9099327624976461E-2</v>
      </c>
      <c r="E25" s="6">
        <f>E18/E3</f>
        <v>2.7093938131381747E-2</v>
      </c>
      <c r="F25" s="6">
        <f>F18/F3</f>
        <v>3.9604964994757672E-2</v>
      </c>
      <c r="G25" s="6">
        <f>G18/G3</f>
        <v>3.4223603868609884E-2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31"/>
  <sheetViews>
    <sheetView workbookViewId="0"/>
  </sheetViews>
  <sheetFormatPr defaultRowHeight="14.25" x14ac:dyDescent="0.45"/>
  <cols>
    <col min="2" max="2" width="29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14</v>
      </c>
      <c r="C3" s="3">
        <v>13673</v>
      </c>
      <c r="D3" s="3">
        <v>11680</v>
      </c>
      <c r="E3" s="3">
        <v>15511</v>
      </c>
      <c r="F3" s="3">
        <v>19436</v>
      </c>
    </row>
    <row r="4" spans="2:6" x14ac:dyDescent="0.45">
      <c r="B4" s="1" t="s">
        <v>27</v>
      </c>
      <c r="C4" s="3">
        <v>10658</v>
      </c>
      <c r="D4" s="3">
        <v>10945</v>
      </c>
      <c r="E4" s="3">
        <v>11853</v>
      </c>
      <c r="F4" s="3">
        <v>12973</v>
      </c>
    </row>
    <row r="5" spans="2:6" x14ac:dyDescent="0.45">
      <c r="B5" s="1" t="s">
        <v>28</v>
      </c>
      <c r="C5" s="3">
        <v>-6597</v>
      </c>
      <c r="D5" s="3">
        <v>2553</v>
      </c>
      <c r="E5" s="3">
        <v>1943</v>
      </c>
      <c r="F5" s="3">
        <v>181</v>
      </c>
    </row>
    <row r="6" spans="2:6" x14ac:dyDescent="0.45">
      <c r="B6" s="1" t="s">
        <v>29</v>
      </c>
      <c r="C6" s="3">
        <v>6447</v>
      </c>
      <c r="D6" s="3">
        <v>3663</v>
      </c>
      <c r="E6" s="3">
        <v>6419</v>
      </c>
      <c r="F6" s="3">
        <v>3853</v>
      </c>
    </row>
    <row r="7" spans="2:6" x14ac:dyDescent="0.45">
      <c r="B7" s="1" t="s">
        <v>30</v>
      </c>
      <c r="C7" s="3">
        <v>24181</v>
      </c>
      <c r="D7" s="3">
        <v>28841</v>
      </c>
      <c r="E7" s="3">
        <v>35726</v>
      </c>
      <c r="F7" s="3">
        <v>36443</v>
      </c>
    </row>
    <row r="8" spans="2:6" x14ac:dyDescent="0.45">
      <c r="B8" s="1" t="s">
        <v>31</v>
      </c>
      <c r="C8" s="3">
        <v>-359</v>
      </c>
      <c r="D8" s="3">
        <v>-740</v>
      </c>
      <c r="E8" s="3">
        <v>-9</v>
      </c>
      <c r="F8" s="3">
        <v>-1896</v>
      </c>
    </row>
    <row r="9" spans="2:6" x14ac:dyDescent="0.45">
      <c r="B9" s="1" t="s">
        <v>32</v>
      </c>
      <c r="C9" s="3">
        <v>0</v>
      </c>
      <c r="D9" s="3">
        <v>0</v>
      </c>
      <c r="E9" s="3">
        <v>0</v>
      </c>
      <c r="F9" s="3">
        <v>0</v>
      </c>
    </row>
    <row r="10" spans="2:6" x14ac:dyDescent="0.45">
      <c r="B10" s="1" t="s">
        <v>33</v>
      </c>
      <c r="C10" s="3">
        <v>0</v>
      </c>
      <c r="D10" s="3">
        <v>0</v>
      </c>
      <c r="E10" s="3">
        <v>0</v>
      </c>
      <c r="F10" s="3">
        <v>4080</v>
      </c>
    </row>
    <row r="11" spans="2:6" x14ac:dyDescent="0.45">
      <c r="B11" s="1" t="s">
        <v>34</v>
      </c>
      <c r="C11" s="3">
        <v>-5656</v>
      </c>
      <c r="D11" s="3">
        <v>-16982</v>
      </c>
      <c r="E11" s="3">
        <v>-21278</v>
      </c>
      <c r="F11" s="3">
        <v>-23563</v>
      </c>
    </row>
    <row r="12" spans="2:6" x14ac:dyDescent="0.45">
      <c r="B12" s="1" t="s">
        <v>35</v>
      </c>
      <c r="C12" s="3">
        <v>-6015</v>
      </c>
      <c r="D12" s="3">
        <v>-17722</v>
      </c>
      <c r="E12" s="3">
        <v>-21287</v>
      </c>
      <c r="F12" s="3">
        <v>-21379</v>
      </c>
    </row>
    <row r="13" spans="2:6" x14ac:dyDescent="0.45">
      <c r="B13" s="1" t="s">
        <v>36</v>
      </c>
      <c r="C13" s="3">
        <v>-13010</v>
      </c>
      <c r="D13" s="3">
        <v>-2689</v>
      </c>
      <c r="E13" s="3">
        <v>-4217</v>
      </c>
      <c r="F13" s="3">
        <v>-3468</v>
      </c>
    </row>
    <row r="14" spans="2:6" x14ac:dyDescent="0.45">
      <c r="B14" s="1" t="s">
        <v>37</v>
      </c>
      <c r="C14" s="3">
        <v>-9787</v>
      </c>
      <c r="D14" s="3">
        <v>-9920</v>
      </c>
      <c r="E14" s="3">
        <v>-2779</v>
      </c>
      <c r="F14" s="3">
        <v>-4494</v>
      </c>
    </row>
    <row r="15" spans="2:6" x14ac:dyDescent="0.45">
      <c r="B15" s="1" t="s">
        <v>38</v>
      </c>
      <c r="C15" s="3">
        <v>-6152</v>
      </c>
      <c r="D15" s="3">
        <v>-6114</v>
      </c>
      <c r="E15" s="3">
        <v>-6140</v>
      </c>
      <c r="F15" s="3">
        <v>-6688</v>
      </c>
    </row>
    <row r="16" spans="2:6" x14ac:dyDescent="0.45">
      <c r="B16" s="1" t="s">
        <v>39</v>
      </c>
      <c r="C16" s="3">
        <v>0</v>
      </c>
      <c r="D16" s="3">
        <v>0</v>
      </c>
      <c r="E16" s="3">
        <v>0</v>
      </c>
      <c r="F16" s="3">
        <v>0</v>
      </c>
    </row>
    <row r="17" spans="2:6" x14ac:dyDescent="0.45">
      <c r="B17" s="1" t="s">
        <v>40</v>
      </c>
      <c r="C17" s="3">
        <v>6121</v>
      </c>
      <c r="D17" s="3">
        <v>1684</v>
      </c>
      <c r="E17" s="3">
        <v>-278</v>
      </c>
      <c r="F17" s="3">
        <v>-172</v>
      </c>
    </row>
    <row r="18" spans="2:6" x14ac:dyDescent="0.45">
      <c r="B18" s="1" t="s">
        <v>41</v>
      </c>
      <c r="C18" s="3">
        <v>-22828</v>
      </c>
      <c r="D18" s="3">
        <v>-17039</v>
      </c>
      <c r="E18" s="3">
        <v>-13414</v>
      </c>
      <c r="F18" s="3">
        <v>-14822</v>
      </c>
    </row>
    <row r="19" spans="2:6" x14ac:dyDescent="0.45">
      <c r="B19" s="1" t="s">
        <v>42</v>
      </c>
      <c r="C19" s="3">
        <v>-4662</v>
      </c>
      <c r="D19" s="3">
        <v>-5920</v>
      </c>
      <c r="E19" s="3">
        <v>1025</v>
      </c>
      <c r="F19" s="3">
        <v>242</v>
      </c>
    </row>
    <row r="20" spans="2:6" x14ac:dyDescent="0.45">
      <c r="B20" s="1" t="s">
        <v>43</v>
      </c>
      <c r="C20" s="3">
        <v>1708</v>
      </c>
      <c r="D20" s="3">
        <v>-73</v>
      </c>
      <c r="E20" s="3">
        <v>69</v>
      </c>
      <c r="F20" s="3">
        <v>-641</v>
      </c>
    </row>
    <row r="21" spans="2:6" x14ac:dyDescent="0.45">
      <c r="B21" s="1" t="s">
        <v>44</v>
      </c>
      <c r="C21" s="3">
        <v>17788</v>
      </c>
      <c r="D21" s="3">
        <v>14834</v>
      </c>
      <c r="E21" s="3">
        <v>8841</v>
      </c>
      <c r="F21" s="3">
        <v>9935</v>
      </c>
    </row>
    <row r="22" spans="2:6" x14ac:dyDescent="0.45">
      <c r="B22" s="1" t="s">
        <v>45</v>
      </c>
      <c r="C22" s="3">
        <v>14834</v>
      </c>
      <c r="D22" s="3">
        <v>8841</v>
      </c>
      <c r="E22" s="3">
        <v>9935</v>
      </c>
      <c r="F22" s="3">
        <v>9536</v>
      </c>
    </row>
    <row r="23" spans="2:6" x14ac:dyDescent="0.45">
      <c r="B23" s="1" t="s">
        <v>46</v>
      </c>
      <c r="C23" s="3">
        <v>24181</v>
      </c>
      <c r="D23" s="3">
        <v>28841</v>
      </c>
      <c r="E23" s="3">
        <v>35726</v>
      </c>
      <c r="F23" s="3">
        <v>36443</v>
      </c>
    </row>
    <row r="24" spans="2:6" x14ac:dyDescent="0.45">
      <c r="B24" s="1" t="s">
        <v>47</v>
      </c>
      <c r="C24" s="3">
        <v>-13106</v>
      </c>
      <c r="D24" s="3">
        <v>-16857</v>
      </c>
      <c r="E24" s="3">
        <v>-20606</v>
      </c>
      <c r="F24" s="3">
        <v>-23783</v>
      </c>
    </row>
    <row r="25" spans="2:6" x14ac:dyDescent="0.45">
      <c r="B25" s="1" t="s">
        <v>48</v>
      </c>
      <c r="C25" s="3">
        <f>C23</f>
        <v>24181</v>
      </c>
      <c r="D25" s="3">
        <f>D23</f>
        <v>28841</v>
      </c>
      <c r="E25" s="3">
        <f>E23</f>
        <v>35726</v>
      </c>
      <c r="F25" s="3">
        <f>F23</f>
        <v>36443</v>
      </c>
    </row>
    <row r="26" spans="2:6" x14ac:dyDescent="0.45">
      <c r="B26" s="1"/>
      <c r="C26" s="3"/>
      <c r="D26" s="3"/>
      <c r="E26" s="3"/>
      <c r="F26" s="3"/>
    </row>
    <row r="27" spans="2:6" x14ac:dyDescent="0.45">
      <c r="B27" s="1"/>
      <c r="C27" s="3"/>
      <c r="D27" s="3"/>
      <c r="E27" s="3"/>
      <c r="F27" s="3"/>
    </row>
    <row r="28" spans="2:6" x14ac:dyDescent="0.45">
      <c r="B28" s="1" t="s">
        <v>49</v>
      </c>
      <c r="C28" s="6">
        <v>0</v>
      </c>
      <c r="D28" s="6">
        <v>0.19270000000000001</v>
      </c>
      <c r="E28" s="6">
        <v>0.2387</v>
      </c>
      <c r="F28" s="6">
        <v>2.01E-2</v>
      </c>
    </row>
    <row r="29" spans="2:6" x14ac:dyDescent="0.45">
      <c r="B29" s="1" t="s">
        <v>50</v>
      </c>
      <c r="C29" s="6">
        <v>0</v>
      </c>
      <c r="D29" s="6">
        <v>0.28620000000000001</v>
      </c>
      <c r="E29" s="6">
        <v>0.22239999999999999</v>
      </c>
      <c r="F29" s="6">
        <v>0.1542</v>
      </c>
    </row>
    <row r="30" spans="2:6" x14ac:dyDescent="0.45">
      <c r="B30" s="1" t="s">
        <v>51</v>
      </c>
      <c r="C30" s="6">
        <v>0</v>
      </c>
      <c r="D30" s="6">
        <v>8.2100000000000006E-2</v>
      </c>
      <c r="E30" s="6">
        <v>0.26169999999999999</v>
      </c>
      <c r="F30" s="6">
        <v>-0.16270000000000001</v>
      </c>
    </row>
    <row r="31" spans="2:6" x14ac:dyDescent="0.45">
      <c r="B31" s="1" t="s">
        <v>52</v>
      </c>
      <c r="C31" s="6">
        <v>0.45800000000000002</v>
      </c>
      <c r="D31" s="6">
        <v>0.41549999999999998</v>
      </c>
      <c r="E31" s="6">
        <v>0.42320000000000002</v>
      </c>
      <c r="F31" s="6">
        <v>0.34739999999999999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workbookViewId="0"/>
  </sheetViews>
  <sheetFormatPr defaultRowHeight="14.25" x14ac:dyDescent="0.45"/>
  <cols>
    <col min="2" max="2" width="29.73046875" customWidth="1"/>
  </cols>
  <sheetData>
    <row r="2" spans="2:7" x14ac:dyDescent="0.45"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</row>
    <row r="3" spans="2:7" x14ac:dyDescent="0.45">
      <c r="B3" s="1" t="s">
        <v>14</v>
      </c>
      <c r="C3" s="3">
        <v>4577</v>
      </c>
      <c r="D3" s="3">
        <v>5254</v>
      </c>
      <c r="E3" s="3">
        <v>4487</v>
      </c>
      <c r="F3" s="3">
        <v>7026</v>
      </c>
      <c r="G3" s="3">
        <v>6143</v>
      </c>
    </row>
    <row r="4" spans="2:7" x14ac:dyDescent="0.45">
      <c r="B4" s="1" t="s">
        <v>27</v>
      </c>
      <c r="C4" s="3">
        <v>3260</v>
      </c>
      <c r="D4" s="3">
        <v>3374</v>
      </c>
      <c r="E4" s="3">
        <v>3369</v>
      </c>
      <c r="F4" s="3">
        <v>3487</v>
      </c>
      <c r="G4" s="3">
        <v>3606</v>
      </c>
    </row>
    <row r="5" spans="2:7" x14ac:dyDescent="0.45">
      <c r="B5" s="1" t="s">
        <v>28</v>
      </c>
      <c r="C5" s="3">
        <v>-2366</v>
      </c>
      <c r="D5" s="3">
        <v>3688</v>
      </c>
      <c r="E5" s="3">
        <v>-3573</v>
      </c>
      <c r="F5" s="3">
        <v>2424</v>
      </c>
      <c r="G5" s="3">
        <v>-902</v>
      </c>
    </row>
    <row r="6" spans="2:7" x14ac:dyDescent="0.45">
      <c r="B6" s="1" t="s">
        <v>29</v>
      </c>
      <c r="C6" s="3">
        <v>1090</v>
      </c>
      <c r="D6" s="3">
        <v>1209</v>
      </c>
      <c r="E6" s="3">
        <v>1128</v>
      </c>
      <c r="F6" s="3">
        <v>4</v>
      </c>
      <c r="G6" s="3">
        <v>253</v>
      </c>
    </row>
    <row r="7" spans="2:7" x14ac:dyDescent="0.45">
      <c r="B7" s="1" t="s">
        <v>30</v>
      </c>
      <c r="C7" s="3">
        <v>6561</v>
      </c>
      <c r="D7" s="3">
        <v>13525</v>
      </c>
      <c r="E7" s="3">
        <v>5411</v>
      </c>
      <c r="F7" s="3">
        <v>12941</v>
      </c>
      <c r="G7" s="3">
        <v>9100</v>
      </c>
    </row>
    <row r="8" spans="2:7" x14ac:dyDescent="0.45">
      <c r="B8" s="1" t="s">
        <v>31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2:7" x14ac:dyDescent="0.45">
      <c r="B9" s="1" t="s">
        <v>32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2:7" x14ac:dyDescent="0.45">
      <c r="B10" s="1" t="s">
        <v>33</v>
      </c>
      <c r="C10" s="3">
        <v>3664</v>
      </c>
      <c r="D10" s="3">
        <v>267</v>
      </c>
      <c r="E10" s="3">
        <v>0</v>
      </c>
      <c r="F10" s="3">
        <v>0</v>
      </c>
      <c r="G10" s="3">
        <v>24</v>
      </c>
    </row>
    <row r="11" spans="2:7" x14ac:dyDescent="0.45">
      <c r="B11" s="1" t="s">
        <v>34</v>
      </c>
      <c r="C11" s="3">
        <v>-6197</v>
      </c>
      <c r="D11" s="3">
        <v>-8985</v>
      </c>
      <c r="E11" s="3">
        <v>-5093</v>
      </c>
      <c r="F11" s="3">
        <v>-6106</v>
      </c>
      <c r="G11" s="3">
        <v>-7855</v>
      </c>
    </row>
    <row r="12" spans="2:7" x14ac:dyDescent="0.45">
      <c r="B12" s="1" t="s">
        <v>35</v>
      </c>
      <c r="C12" s="3">
        <v>-2533</v>
      </c>
      <c r="D12" s="3">
        <v>-8718</v>
      </c>
      <c r="E12" s="3">
        <v>-5093</v>
      </c>
      <c r="F12" s="3">
        <v>-6106</v>
      </c>
      <c r="G12" s="3">
        <v>-7831</v>
      </c>
    </row>
    <row r="13" spans="2:7" x14ac:dyDescent="0.45">
      <c r="B13" s="1" t="s">
        <v>36</v>
      </c>
      <c r="C13" s="3">
        <v>0</v>
      </c>
      <c r="D13" s="3">
        <v>-651</v>
      </c>
      <c r="E13" s="3">
        <v>0</v>
      </c>
      <c r="F13" s="3">
        <v>-875</v>
      </c>
      <c r="G13" s="3">
        <v>-1750</v>
      </c>
    </row>
    <row r="14" spans="2:7" x14ac:dyDescent="0.45">
      <c r="B14" s="1" t="s">
        <v>37</v>
      </c>
      <c r="C14" s="3">
        <v>-977</v>
      </c>
      <c r="D14" s="3">
        <v>-1445</v>
      </c>
      <c r="E14" s="3">
        <v>-4555</v>
      </c>
      <c r="F14" s="3">
        <v>-1645</v>
      </c>
      <c r="G14" s="3">
        <v>-808</v>
      </c>
    </row>
    <row r="15" spans="2:7" x14ac:dyDescent="0.45">
      <c r="B15" s="1" t="s">
        <v>38</v>
      </c>
      <c r="C15" s="3">
        <v>-1668</v>
      </c>
      <c r="D15" s="3">
        <v>-1684</v>
      </c>
      <c r="E15" s="3">
        <v>-1880</v>
      </c>
      <c r="F15" s="3">
        <v>-1875</v>
      </c>
      <c r="G15" s="3">
        <v>-1875</v>
      </c>
    </row>
    <row r="16" spans="2:7" x14ac:dyDescent="0.45">
      <c r="B16" s="1" t="s">
        <v>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2:7" x14ac:dyDescent="0.45">
      <c r="B17" s="1" t="s">
        <v>40</v>
      </c>
      <c r="C17" s="3">
        <v>-83</v>
      </c>
      <c r="D17" s="3">
        <v>-1369</v>
      </c>
      <c r="E17" s="3">
        <v>6443</v>
      </c>
      <c r="F17" s="3">
        <v>-2606</v>
      </c>
      <c r="G17" s="3">
        <v>4414</v>
      </c>
    </row>
    <row r="18" spans="2:7" x14ac:dyDescent="0.45">
      <c r="B18" s="1" t="s">
        <v>41</v>
      </c>
      <c r="C18" s="3">
        <v>-2728</v>
      </c>
      <c r="D18" s="3">
        <v>-5149</v>
      </c>
      <c r="E18" s="3">
        <v>8</v>
      </c>
      <c r="F18" s="3">
        <v>-7001</v>
      </c>
      <c r="G18" s="3">
        <v>-19</v>
      </c>
    </row>
    <row r="19" spans="2:7" x14ac:dyDescent="0.45">
      <c r="B19" s="1" t="s">
        <v>42</v>
      </c>
      <c r="C19" s="3">
        <v>1300</v>
      </c>
      <c r="D19" s="3">
        <v>-342</v>
      </c>
      <c r="E19" s="3">
        <v>326</v>
      </c>
      <c r="F19" s="3">
        <v>-166</v>
      </c>
      <c r="G19" s="3">
        <v>1250</v>
      </c>
    </row>
    <row r="20" spans="2:7" x14ac:dyDescent="0.45">
      <c r="B20" s="1" t="s">
        <v>43</v>
      </c>
      <c r="C20" s="3">
        <v>-11</v>
      </c>
      <c r="D20" s="3">
        <v>-290</v>
      </c>
      <c r="E20" s="3">
        <v>70</v>
      </c>
      <c r="F20" s="3">
        <v>111</v>
      </c>
      <c r="G20" s="3">
        <v>-30</v>
      </c>
    </row>
    <row r="21" spans="2:7" x14ac:dyDescent="0.45">
      <c r="B21" s="1" t="s">
        <v>44</v>
      </c>
      <c r="C21" s="3">
        <v>8879</v>
      </c>
      <c r="D21" s="3">
        <v>10168</v>
      </c>
      <c r="E21" s="3">
        <v>9536</v>
      </c>
      <c r="F21" s="3">
        <v>9932</v>
      </c>
      <c r="G21" s="3">
        <v>9877</v>
      </c>
    </row>
    <row r="22" spans="2:7" x14ac:dyDescent="0.45">
      <c r="B22" s="1" t="s">
        <v>45</v>
      </c>
      <c r="C22" s="3">
        <v>10168</v>
      </c>
      <c r="D22" s="3">
        <v>9536</v>
      </c>
      <c r="E22" s="3">
        <v>9932</v>
      </c>
      <c r="F22" s="3">
        <v>9877</v>
      </c>
      <c r="G22" s="3">
        <v>11097</v>
      </c>
    </row>
    <row r="23" spans="2:7" x14ac:dyDescent="0.45">
      <c r="B23" s="1" t="s">
        <v>46</v>
      </c>
      <c r="C23" s="3">
        <v>6561</v>
      </c>
      <c r="D23" s="3">
        <v>13525</v>
      </c>
      <c r="E23" s="3">
        <v>5411</v>
      </c>
      <c r="F23" s="3">
        <v>12941</v>
      </c>
      <c r="G23" s="3">
        <v>9100</v>
      </c>
    </row>
    <row r="24" spans="2:7" x14ac:dyDescent="0.45">
      <c r="B24" s="1" t="s">
        <v>47</v>
      </c>
      <c r="C24" s="3">
        <v>-6189</v>
      </c>
      <c r="D24" s="3">
        <v>-7087</v>
      </c>
      <c r="E24" s="3">
        <v>-4986</v>
      </c>
      <c r="F24" s="3">
        <v>-6423</v>
      </c>
      <c r="G24" s="3">
        <v>-7218</v>
      </c>
    </row>
    <row r="25" spans="2:7" x14ac:dyDescent="0.45">
      <c r="B25" s="1" t="s">
        <v>48</v>
      </c>
      <c r="C25" s="3">
        <f>C23</f>
        <v>6561</v>
      </c>
      <c r="D25" s="3">
        <f>D23</f>
        <v>13525</v>
      </c>
      <c r="E25" s="3">
        <f>E23</f>
        <v>5411</v>
      </c>
      <c r="F25" s="3">
        <f>F23</f>
        <v>12941</v>
      </c>
      <c r="G25" s="3">
        <f>G23</f>
        <v>9100</v>
      </c>
    </row>
    <row r="26" spans="2:7" x14ac:dyDescent="0.45">
      <c r="B26" s="1"/>
      <c r="C26" s="3"/>
      <c r="D26" s="3"/>
      <c r="E26" s="3"/>
      <c r="F26" s="3"/>
      <c r="G26" s="3"/>
    </row>
    <row r="27" spans="2:7" x14ac:dyDescent="0.45">
      <c r="B27" s="1"/>
      <c r="C27" s="3"/>
      <c r="D27" s="3"/>
      <c r="E27" s="3"/>
      <c r="F27" s="3"/>
      <c r="G27" s="3"/>
    </row>
    <row r="28" spans="2:7" x14ac:dyDescent="0.45">
      <c r="B28" s="1" t="s">
        <v>49</v>
      </c>
      <c r="C28" s="6">
        <v>0</v>
      </c>
      <c r="D28" s="6">
        <v>1.0613999999999999</v>
      </c>
      <c r="E28" s="6">
        <v>-0.59989999999999999</v>
      </c>
      <c r="F28" s="6">
        <v>1.3915999999999999</v>
      </c>
      <c r="G28" s="6">
        <v>-0.29680000000000001</v>
      </c>
    </row>
    <row r="29" spans="2:7" x14ac:dyDescent="0.45">
      <c r="B29" s="1" t="s">
        <v>50</v>
      </c>
      <c r="C29" s="6">
        <v>0</v>
      </c>
      <c r="D29" s="6">
        <v>0.14510000000000001</v>
      </c>
      <c r="E29" s="6">
        <v>-0.29649999999999999</v>
      </c>
      <c r="F29" s="6">
        <v>0.28820000000000001</v>
      </c>
      <c r="G29" s="6">
        <v>0.12379999999999999</v>
      </c>
    </row>
    <row r="30" spans="2:7" x14ac:dyDescent="0.45">
      <c r="B30" s="1" t="s">
        <v>51</v>
      </c>
      <c r="C30" s="6">
        <v>0</v>
      </c>
      <c r="D30" s="6">
        <v>16.3065</v>
      </c>
      <c r="E30" s="6">
        <v>-0.93400000000000005</v>
      </c>
      <c r="F30" s="6">
        <v>14.336499999999999</v>
      </c>
      <c r="G30" s="6">
        <v>-0.71129999999999993</v>
      </c>
    </row>
    <row r="31" spans="2:7" x14ac:dyDescent="0.45">
      <c r="B31" s="1" t="s">
        <v>52</v>
      </c>
      <c r="C31" s="6">
        <v>5.67E-2</v>
      </c>
      <c r="D31" s="6">
        <v>0.47599999999999998</v>
      </c>
      <c r="E31" s="6">
        <v>7.85E-2</v>
      </c>
      <c r="F31" s="6">
        <v>0.50369999999999993</v>
      </c>
      <c r="G31" s="6">
        <v>0.20680000000000001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0"/>
  <sheetViews>
    <sheetView topLeftCell="A9" workbookViewId="0">
      <selection activeCell="C32" sqref="C32"/>
    </sheetView>
  </sheetViews>
  <sheetFormatPr defaultRowHeight="14.25" x14ac:dyDescent="0.45"/>
  <cols>
    <col min="2" max="2" width="28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53</v>
      </c>
      <c r="C3" s="3">
        <v>14760</v>
      </c>
      <c r="D3" s="3">
        <v>8625</v>
      </c>
      <c r="E3" s="3">
        <v>9867</v>
      </c>
      <c r="F3" s="3">
        <v>9037</v>
      </c>
    </row>
    <row r="4" spans="2:6" x14ac:dyDescent="0.45">
      <c r="B4" s="1" t="s">
        <v>54</v>
      </c>
      <c r="C4" s="3">
        <v>8280</v>
      </c>
      <c r="D4" s="3">
        <v>7933</v>
      </c>
      <c r="E4" s="3">
        <v>8796</v>
      </c>
      <c r="F4" s="3">
        <v>9975</v>
      </c>
    </row>
    <row r="5" spans="2:6" x14ac:dyDescent="0.45">
      <c r="B5" s="1" t="s">
        <v>55</v>
      </c>
      <c r="C5" s="3">
        <v>56511</v>
      </c>
      <c r="D5" s="3">
        <v>56576</v>
      </c>
      <c r="E5" s="3">
        <v>54892</v>
      </c>
      <c r="F5" s="3">
        <v>56435</v>
      </c>
    </row>
    <row r="6" spans="2:6" x14ac:dyDescent="0.45">
      <c r="B6" s="1" t="s">
        <v>56</v>
      </c>
      <c r="C6" s="3">
        <v>1519</v>
      </c>
      <c r="D6" s="3">
        <v>2521</v>
      </c>
      <c r="E6" s="3">
        <v>3322</v>
      </c>
      <c r="F6" s="3">
        <v>4011</v>
      </c>
    </row>
    <row r="7" spans="2:6" x14ac:dyDescent="0.45">
      <c r="B7" s="1" t="s">
        <v>57</v>
      </c>
      <c r="C7" s="3">
        <v>81070</v>
      </c>
      <c r="D7" s="3">
        <v>75655</v>
      </c>
      <c r="E7" s="3">
        <v>76877</v>
      </c>
      <c r="F7" s="3">
        <v>79458</v>
      </c>
    </row>
    <row r="8" spans="2:6" x14ac:dyDescent="0.45">
      <c r="B8" s="1" t="s">
        <v>58</v>
      </c>
      <c r="C8" s="3">
        <v>112624</v>
      </c>
      <c r="D8" s="3">
        <v>119234</v>
      </c>
      <c r="E8" s="3">
        <v>130338</v>
      </c>
      <c r="F8" s="3">
        <v>139704</v>
      </c>
    </row>
    <row r="9" spans="2:6" x14ac:dyDescent="0.45">
      <c r="B9" s="1" t="s">
        <v>59</v>
      </c>
      <c r="C9" s="3">
        <v>29014</v>
      </c>
      <c r="D9" s="3">
        <v>28174</v>
      </c>
      <c r="E9" s="3">
        <v>28113</v>
      </c>
      <c r="F9" s="3">
        <v>28792</v>
      </c>
    </row>
    <row r="10" spans="2:6" x14ac:dyDescent="0.45">
      <c r="B10" s="1" t="s">
        <v>60</v>
      </c>
      <c r="C10" s="3">
        <v>22152</v>
      </c>
      <c r="D10" s="3">
        <v>20134</v>
      </c>
      <c r="E10" s="3">
        <v>17071</v>
      </c>
      <c r="F10" s="3">
        <v>12869</v>
      </c>
    </row>
    <row r="11" spans="2:6" x14ac:dyDescent="0.45">
      <c r="B11" s="1" t="s">
        <v>61</v>
      </c>
      <c r="C11" s="3">
        <v>163790</v>
      </c>
      <c r="D11" s="3">
        <v>167542</v>
      </c>
      <c r="E11" s="3">
        <v>175522</v>
      </c>
      <c r="F11" s="3">
        <v>181365</v>
      </c>
    </row>
    <row r="12" spans="2:6" x14ac:dyDescent="0.45">
      <c r="B12" s="1" t="s">
        <v>62</v>
      </c>
      <c r="C12" s="3">
        <f>C7+C11</f>
        <v>244860</v>
      </c>
      <c r="D12" s="3">
        <f>D7+D11</f>
        <v>243197</v>
      </c>
      <c r="E12" s="3">
        <f>E7+E11</f>
        <v>252399</v>
      </c>
      <c r="F12" s="3">
        <f>F7+F11</f>
        <v>260823</v>
      </c>
    </row>
    <row r="13" spans="2:6" x14ac:dyDescent="0.45">
      <c r="B13" s="1" t="s">
        <v>63</v>
      </c>
      <c r="C13" s="3">
        <v>55261</v>
      </c>
      <c r="D13" s="3">
        <v>53742</v>
      </c>
      <c r="E13" s="3">
        <v>56812</v>
      </c>
      <c r="F13" s="3">
        <v>58666</v>
      </c>
    </row>
    <row r="14" spans="2:6" x14ac:dyDescent="0.45">
      <c r="B14" s="1" t="s">
        <v>64</v>
      </c>
      <c r="C14" s="3">
        <v>5207</v>
      </c>
      <c r="D14" s="3">
        <v>6603</v>
      </c>
      <c r="E14" s="3">
        <v>6537</v>
      </c>
      <c r="F14" s="3">
        <v>7965</v>
      </c>
    </row>
    <row r="15" spans="2:6" x14ac:dyDescent="0.45">
      <c r="B15" s="1" t="s">
        <v>65</v>
      </c>
      <c r="C15" s="3">
        <v>26911</v>
      </c>
      <c r="D15" s="3">
        <v>31853</v>
      </c>
      <c r="E15" s="3">
        <v>29066</v>
      </c>
      <c r="F15" s="3">
        <v>29953</v>
      </c>
    </row>
    <row r="16" spans="2:6" x14ac:dyDescent="0.45">
      <c r="B16" s="1" t="s">
        <v>66</v>
      </c>
      <c r="C16" s="3">
        <v>87379</v>
      </c>
      <c r="D16" s="3">
        <v>92198</v>
      </c>
      <c r="E16" s="3">
        <v>92415</v>
      </c>
      <c r="F16" s="3">
        <v>96584</v>
      </c>
    </row>
    <row r="17" spans="2:6" x14ac:dyDescent="0.45">
      <c r="B17" s="1" t="s">
        <v>67</v>
      </c>
      <c r="C17" s="3">
        <v>52116</v>
      </c>
      <c r="D17" s="3">
        <v>52320</v>
      </c>
      <c r="E17" s="3">
        <v>54784</v>
      </c>
      <c r="F17" s="3">
        <v>52149</v>
      </c>
    </row>
    <row r="18" spans="2:6" x14ac:dyDescent="0.45">
      <c r="B18" s="1" t="s">
        <v>68</v>
      </c>
      <c r="C18" s="3">
        <v>13474</v>
      </c>
      <c r="D18" s="3">
        <v>14688</v>
      </c>
      <c r="E18" s="3">
        <v>14629</v>
      </c>
      <c r="F18" s="3">
        <v>14398</v>
      </c>
    </row>
    <row r="19" spans="2:6" x14ac:dyDescent="0.45">
      <c r="B19" s="1" t="s">
        <v>69</v>
      </c>
      <c r="C19" s="3">
        <v>65590</v>
      </c>
      <c r="D19" s="3">
        <v>67008</v>
      </c>
      <c r="E19" s="3">
        <v>69413</v>
      </c>
      <c r="F19" s="3">
        <v>66547</v>
      </c>
    </row>
    <row r="20" spans="2:6" x14ac:dyDescent="0.45">
      <c r="B20" s="1" t="s">
        <v>70</v>
      </c>
      <c r="C20" s="3">
        <f>C16+C19</f>
        <v>152969</v>
      </c>
      <c r="D20" s="3">
        <f>D16+D19</f>
        <v>159206</v>
      </c>
      <c r="E20" s="3">
        <f>E16+E19</f>
        <v>161828</v>
      </c>
      <c r="F20" s="3">
        <f>F16+F19</f>
        <v>163131</v>
      </c>
    </row>
    <row r="21" spans="2:6" x14ac:dyDescent="0.45">
      <c r="B21" s="1" t="s">
        <v>71</v>
      </c>
      <c r="C21" s="3">
        <v>4839</v>
      </c>
      <c r="D21" s="3">
        <v>4430</v>
      </c>
      <c r="E21" s="3">
        <v>4544</v>
      </c>
      <c r="F21" s="3">
        <v>5503</v>
      </c>
    </row>
    <row r="22" spans="2:6" x14ac:dyDescent="0.45">
      <c r="B22" s="1" t="s">
        <v>72</v>
      </c>
      <c r="C22" s="3">
        <v>86904</v>
      </c>
      <c r="D22" s="3">
        <v>83135</v>
      </c>
      <c r="E22" s="3">
        <v>89814</v>
      </c>
      <c r="F22" s="3">
        <v>98313</v>
      </c>
    </row>
    <row r="23" spans="2:6" x14ac:dyDescent="0.45">
      <c r="B23" s="1" t="s">
        <v>73</v>
      </c>
      <c r="C23" s="3">
        <v>-8490</v>
      </c>
      <c r="D23" s="3">
        <v>-10872</v>
      </c>
      <c r="E23" s="3">
        <v>-10497</v>
      </c>
      <c r="F23" s="3">
        <v>-12803</v>
      </c>
    </row>
    <row r="24" spans="2:6" x14ac:dyDescent="0.45">
      <c r="B24" s="1" t="s">
        <v>74</v>
      </c>
      <c r="C24" s="3">
        <v>83253</v>
      </c>
      <c r="D24" s="3">
        <v>76693</v>
      </c>
      <c r="E24" s="3">
        <v>83861</v>
      </c>
      <c r="F24" s="3">
        <v>91013</v>
      </c>
    </row>
    <row r="25" spans="2:6" x14ac:dyDescent="0.45">
      <c r="B25" s="1" t="s">
        <v>75</v>
      </c>
      <c r="C25" s="3">
        <v>8638</v>
      </c>
      <c r="D25" s="3">
        <v>7298</v>
      </c>
      <c r="E25" s="3">
        <v>6710</v>
      </c>
      <c r="F25" s="3">
        <v>6679</v>
      </c>
    </row>
    <row r="26" spans="2:6" x14ac:dyDescent="0.45">
      <c r="B26" s="1" t="s">
        <v>76</v>
      </c>
      <c r="C26" s="3">
        <f>C12+C20</f>
        <v>397829</v>
      </c>
      <c r="D26" s="3">
        <f>D12+D20</f>
        <v>402403</v>
      </c>
      <c r="E26" s="3">
        <f>E12+E20</f>
        <v>414227</v>
      </c>
      <c r="F26" s="3">
        <f>F12+F20</f>
        <v>423954</v>
      </c>
    </row>
    <row r="27" spans="2:6" x14ac:dyDescent="0.45">
      <c r="B27" s="1" t="s">
        <v>77</v>
      </c>
      <c r="C27" s="3">
        <v>83253</v>
      </c>
      <c r="D27" s="3">
        <v>76693</v>
      </c>
      <c r="E27" s="3">
        <v>83861</v>
      </c>
      <c r="F27" s="3">
        <v>91013</v>
      </c>
    </row>
    <row r="28" spans="2:6" x14ac:dyDescent="0.45">
      <c r="B28" s="1" t="s">
        <v>78</v>
      </c>
      <c r="C28" s="3">
        <v>57323</v>
      </c>
      <c r="D28" s="3">
        <v>58923</v>
      </c>
      <c r="E28" s="3">
        <v>61321</v>
      </c>
      <c r="F28" s="3">
        <v>60114</v>
      </c>
    </row>
    <row r="29" spans="2:6" x14ac:dyDescent="0.45">
      <c r="B29" s="1" t="s">
        <v>79</v>
      </c>
      <c r="C29" s="3">
        <v>42563</v>
      </c>
      <c r="D29" s="3">
        <v>50298</v>
      </c>
      <c r="E29" s="3">
        <v>51454</v>
      </c>
      <c r="F29" s="3">
        <v>51077</v>
      </c>
    </row>
    <row r="30" spans="2:6" x14ac:dyDescent="0.45">
      <c r="B30" s="1" t="s">
        <v>80</v>
      </c>
      <c r="C30" s="3">
        <v>169135</v>
      </c>
      <c r="D30" s="3">
        <v>175810</v>
      </c>
      <c r="E30" s="3">
        <v>185230</v>
      </c>
      <c r="F30" s="3">
        <v>196139</v>
      </c>
    </row>
    <row r="31" spans="2:6" x14ac:dyDescent="0.45">
      <c r="B31" s="1" t="s">
        <v>81</v>
      </c>
      <c r="C31" s="3">
        <v>115208</v>
      </c>
      <c r="D31" s="3">
        <v>114578</v>
      </c>
      <c r="E31" s="3">
        <v>121161</v>
      </c>
      <c r="F31" s="3">
        <v>127722</v>
      </c>
    </row>
    <row r="32" spans="2:6" x14ac:dyDescent="0.45">
      <c r="B32" s="1" t="s">
        <v>82</v>
      </c>
      <c r="C32" s="3">
        <v>-71899</v>
      </c>
      <c r="D32" s="3">
        <v>-83551</v>
      </c>
      <c r="E32" s="3">
        <v>-84951</v>
      </c>
      <c r="F32" s="3">
        <v>-83673</v>
      </c>
    </row>
    <row r="33" spans="2:6" x14ac:dyDescent="0.45">
      <c r="B33" s="1" t="s">
        <v>83</v>
      </c>
      <c r="C33" s="3">
        <v>8283</v>
      </c>
      <c r="D33" s="3">
        <v>8100</v>
      </c>
      <c r="E33" s="3">
        <v>8054</v>
      </c>
      <c r="F33" s="3">
        <v>8024</v>
      </c>
    </row>
    <row r="34" spans="2:6" x14ac:dyDescent="0.45">
      <c r="B34" s="1"/>
      <c r="C34" s="3"/>
      <c r="D34" s="3"/>
      <c r="E34" s="3"/>
      <c r="F34" s="3"/>
    </row>
    <row r="35" spans="2:6" x14ac:dyDescent="0.45">
      <c r="B35" s="1"/>
      <c r="C35" s="3"/>
      <c r="D35" s="3"/>
      <c r="E35" s="3"/>
      <c r="F35" s="3"/>
    </row>
    <row r="36" spans="2:6" x14ac:dyDescent="0.45">
      <c r="B36" s="1" t="s">
        <v>84</v>
      </c>
      <c r="C36" s="6">
        <v>0.62380000000000002</v>
      </c>
      <c r="D36" s="6">
        <v>0.70150000000000001</v>
      </c>
      <c r="E36" s="6">
        <v>0.67700000000000005</v>
      </c>
      <c r="F36" s="6">
        <v>0.61529999999999996</v>
      </c>
    </row>
    <row r="37" spans="2:6" x14ac:dyDescent="0.45">
      <c r="B37" s="1" t="s">
        <v>85</v>
      </c>
      <c r="C37" s="6">
        <v>0</v>
      </c>
      <c r="D37" s="6">
        <v>-6.7999999999999996E-3</v>
      </c>
      <c r="E37" s="6">
        <v>3.78E-2</v>
      </c>
      <c r="F37" s="6">
        <v>3.3399999999999999E-2</v>
      </c>
    </row>
    <row r="38" spans="2:6" x14ac:dyDescent="0.45">
      <c r="B38" s="1" t="s">
        <v>86</v>
      </c>
      <c r="C38" s="6">
        <v>0</v>
      </c>
      <c r="D38" s="6">
        <v>3.95E-2</v>
      </c>
      <c r="E38" s="6">
        <v>5.3600000000000002E-2</v>
      </c>
      <c r="F38" s="6">
        <v>5.8899999999999987E-2</v>
      </c>
    </row>
    <row r="39" spans="2:6" x14ac:dyDescent="0.45">
      <c r="B39" s="1" t="s">
        <v>87</v>
      </c>
      <c r="C39" s="6">
        <v>0</v>
      </c>
      <c r="D39" s="6">
        <v>-7.8799999999999995E-2</v>
      </c>
      <c r="E39" s="6">
        <v>9.35E-2</v>
      </c>
      <c r="F39" s="6">
        <v>8.5299999999999987E-2</v>
      </c>
    </row>
    <row r="40" spans="2:6" x14ac:dyDescent="0.45">
      <c r="B40" s="1" t="s">
        <v>88</v>
      </c>
      <c r="C40" s="6">
        <v>0</v>
      </c>
      <c r="D40" s="6">
        <v>-5.5000000000000014E-3</v>
      </c>
      <c r="E40" s="6">
        <v>5.7500000000000002E-2</v>
      </c>
      <c r="F40" s="6">
        <v>5.4199999999999998E-2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40"/>
  <sheetViews>
    <sheetView zoomScale="96" workbookViewId="0"/>
  </sheetViews>
  <sheetFormatPr defaultRowHeight="14.25" x14ac:dyDescent="0.45"/>
  <cols>
    <col min="2" max="2" width="28.73046875" customWidth="1"/>
  </cols>
  <sheetData>
    <row r="2" spans="2:7" x14ac:dyDescent="0.45"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</row>
    <row r="3" spans="2:7" x14ac:dyDescent="0.45">
      <c r="B3" s="1" t="s">
        <v>53</v>
      </c>
      <c r="C3" s="3">
        <v>10049</v>
      </c>
      <c r="D3" s="3">
        <v>9037</v>
      </c>
      <c r="E3" s="3">
        <v>9311</v>
      </c>
      <c r="F3" s="3">
        <v>9431</v>
      </c>
      <c r="G3" s="3">
        <v>10582</v>
      </c>
    </row>
    <row r="4" spans="2:7" x14ac:dyDescent="0.45">
      <c r="B4" s="1" t="s">
        <v>54</v>
      </c>
      <c r="C4" s="3">
        <v>10039</v>
      </c>
      <c r="D4" s="3">
        <v>9975</v>
      </c>
      <c r="E4" s="3">
        <v>9686</v>
      </c>
      <c r="F4" s="3">
        <v>10518</v>
      </c>
      <c r="G4" s="3">
        <v>12115</v>
      </c>
    </row>
    <row r="5" spans="2:7" x14ac:dyDescent="0.45">
      <c r="B5" s="1" t="s">
        <v>55</v>
      </c>
      <c r="C5" s="3">
        <v>63302</v>
      </c>
      <c r="D5" s="3">
        <v>56435</v>
      </c>
      <c r="E5" s="3">
        <v>57467</v>
      </c>
      <c r="F5" s="3">
        <v>57729</v>
      </c>
      <c r="G5" s="3">
        <v>65354</v>
      </c>
    </row>
    <row r="6" spans="2:7" x14ac:dyDescent="0.45">
      <c r="B6" s="1" t="s">
        <v>56</v>
      </c>
      <c r="C6" s="3">
        <v>3548</v>
      </c>
      <c r="D6" s="3">
        <v>4011</v>
      </c>
      <c r="E6" s="3">
        <v>3789</v>
      </c>
      <c r="F6" s="3">
        <v>4355</v>
      </c>
      <c r="G6" s="3">
        <v>4869</v>
      </c>
    </row>
    <row r="7" spans="2:7" x14ac:dyDescent="0.45">
      <c r="B7" s="1" t="s">
        <v>57</v>
      </c>
      <c r="C7" s="3">
        <v>86938</v>
      </c>
      <c r="D7" s="3">
        <v>79458</v>
      </c>
      <c r="E7" s="3">
        <v>80253</v>
      </c>
      <c r="F7" s="3">
        <v>82033</v>
      </c>
      <c r="G7" s="3">
        <v>92920</v>
      </c>
    </row>
    <row r="8" spans="2:7" x14ac:dyDescent="0.45">
      <c r="B8" s="1" t="s">
        <v>58</v>
      </c>
      <c r="C8" s="3">
        <v>136526</v>
      </c>
      <c r="D8" s="3">
        <v>139704</v>
      </c>
      <c r="E8" s="3">
        <v>140884</v>
      </c>
      <c r="F8" s="3">
        <v>145557</v>
      </c>
      <c r="G8" s="3">
        <v>150840</v>
      </c>
    </row>
    <row r="9" spans="2:7" x14ac:dyDescent="0.45">
      <c r="B9" s="1" t="s">
        <v>59</v>
      </c>
      <c r="C9" s="3">
        <v>27942</v>
      </c>
      <c r="D9" s="3">
        <v>28792</v>
      </c>
      <c r="E9" s="3">
        <v>28866</v>
      </c>
      <c r="F9" s="3">
        <v>29060</v>
      </c>
      <c r="G9" s="3">
        <v>28722</v>
      </c>
    </row>
    <row r="10" spans="2:7" x14ac:dyDescent="0.45">
      <c r="B10" s="1" t="s">
        <v>60</v>
      </c>
      <c r="C10" s="3">
        <v>11993</v>
      </c>
      <c r="D10" s="3">
        <v>12869</v>
      </c>
      <c r="E10" s="3">
        <v>12369</v>
      </c>
      <c r="F10" s="3">
        <v>14187</v>
      </c>
      <c r="G10" s="3">
        <v>16173</v>
      </c>
    </row>
    <row r="11" spans="2:7" x14ac:dyDescent="0.45">
      <c r="B11" s="1" t="s">
        <v>61</v>
      </c>
      <c r="C11" s="3">
        <v>176461</v>
      </c>
      <c r="D11" s="3">
        <v>181365</v>
      </c>
      <c r="E11" s="3">
        <v>182119</v>
      </c>
      <c r="F11" s="3">
        <v>188804</v>
      </c>
      <c r="G11" s="3">
        <v>195735</v>
      </c>
    </row>
    <row r="12" spans="2:7" x14ac:dyDescent="0.45">
      <c r="B12" s="1" t="s">
        <v>62</v>
      </c>
      <c r="C12" s="3">
        <f>C7+C11</f>
        <v>263399</v>
      </c>
      <c r="D12" s="3">
        <f>D7+D11</f>
        <v>260823</v>
      </c>
      <c r="E12" s="3">
        <f>E7+E11</f>
        <v>262372</v>
      </c>
      <c r="F12" s="3">
        <f>F7+F11</f>
        <v>270837</v>
      </c>
      <c r="G12" s="3">
        <f>G7+G11</f>
        <v>288655</v>
      </c>
    </row>
    <row r="13" spans="2:7" x14ac:dyDescent="0.45">
      <c r="B13" s="1" t="s">
        <v>63</v>
      </c>
      <c r="C13" s="3">
        <v>62863</v>
      </c>
      <c r="D13" s="3">
        <v>58666</v>
      </c>
      <c r="E13" s="3">
        <v>57700</v>
      </c>
      <c r="F13" s="3">
        <v>60086</v>
      </c>
      <c r="G13" s="3">
        <v>67156</v>
      </c>
    </row>
    <row r="14" spans="2:7" x14ac:dyDescent="0.45">
      <c r="B14" s="1" t="s">
        <v>64</v>
      </c>
      <c r="C14" s="3">
        <v>9121</v>
      </c>
      <c r="D14" s="3">
        <v>7965</v>
      </c>
      <c r="E14" s="3">
        <v>12010</v>
      </c>
      <c r="F14" s="3">
        <v>10256</v>
      </c>
      <c r="G14" s="3">
        <v>14358</v>
      </c>
    </row>
    <row r="15" spans="2:7" x14ac:dyDescent="0.45">
      <c r="B15" s="1" t="s">
        <v>65</v>
      </c>
      <c r="C15" s="3">
        <v>30574</v>
      </c>
      <c r="D15" s="3">
        <v>29953</v>
      </c>
      <c r="E15" s="3">
        <v>33210</v>
      </c>
      <c r="F15" s="3">
        <v>33224</v>
      </c>
      <c r="G15" s="3">
        <v>34218</v>
      </c>
    </row>
    <row r="16" spans="2:7" x14ac:dyDescent="0.45">
      <c r="B16" s="1" t="s">
        <v>66</v>
      </c>
      <c r="C16" s="3">
        <v>102558</v>
      </c>
      <c r="D16" s="3">
        <v>96584</v>
      </c>
      <c r="E16" s="3">
        <v>102920</v>
      </c>
      <c r="F16" s="3">
        <v>103566</v>
      </c>
      <c r="G16" s="3">
        <v>115732</v>
      </c>
    </row>
    <row r="17" spans="2:7" x14ac:dyDescent="0.45">
      <c r="B17" s="1" t="s">
        <v>67</v>
      </c>
      <c r="C17" s="3">
        <v>52628</v>
      </c>
      <c r="D17" s="3">
        <v>52149</v>
      </c>
      <c r="E17" s="3">
        <v>55195</v>
      </c>
      <c r="F17" s="3">
        <v>54758</v>
      </c>
      <c r="G17" s="3">
        <v>54066</v>
      </c>
    </row>
    <row r="18" spans="2:7" x14ac:dyDescent="0.45">
      <c r="B18" s="1" t="s">
        <v>68</v>
      </c>
      <c r="C18" s="3">
        <v>13748</v>
      </c>
      <c r="D18" s="3">
        <v>14398</v>
      </c>
      <c r="E18" s="3">
        <v>13609</v>
      </c>
      <c r="F18" s="3">
        <v>15656</v>
      </c>
      <c r="G18" s="3">
        <v>16345</v>
      </c>
    </row>
    <row r="19" spans="2:7" x14ac:dyDescent="0.45">
      <c r="B19" s="1" t="s">
        <v>69</v>
      </c>
      <c r="C19" s="3">
        <v>66376</v>
      </c>
      <c r="D19" s="3">
        <v>66547</v>
      </c>
      <c r="E19" s="3">
        <v>68804</v>
      </c>
      <c r="F19" s="3">
        <v>70414</v>
      </c>
      <c r="G19" s="3">
        <v>70411</v>
      </c>
    </row>
    <row r="20" spans="2:7" x14ac:dyDescent="0.45">
      <c r="B20" s="1" t="s">
        <v>70</v>
      </c>
      <c r="C20" s="3">
        <f>C16+C19</f>
        <v>168934</v>
      </c>
      <c r="D20" s="3">
        <f>D16+D19</f>
        <v>163131</v>
      </c>
      <c r="E20" s="3">
        <f>E16+E19</f>
        <v>171724</v>
      </c>
      <c r="F20" s="3">
        <f>F16+F19</f>
        <v>173980</v>
      </c>
      <c r="G20" s="3">
        <f>G16+G19</f>
        <v>186143</v>
      </c>
    </row>
    <row r="21" spans="2:7" x14ac:dyDescent="0.45">
      <c r="B21" s="1" t="s">
        <v>71</v>
      </c>
      <c r="C21" s="3">
        <v>5395</v>
      </c>
      <c r="D21" s="3">
        <v>5503</v>
      </c>
      <c r="E21" s="3">
        <v>5441</v>
      </c>
      <c r="F21" s="3">
        <v>5718</v>
      </c>
      <c r="G21" s="3">
        <v>6863</v>
      </c>
    </row>
    <row r="22" spans="2:7" x14ac:dyDescent="0.45">
      <c r="B22" s="1" t="s">
        <v>72</v>
      </c>
      <c r="C22" s="3">
        <v>94435</v>
      </c>
      <c r="D22" s="3">
        <v>98313</v>
      </c>
      <c r="E22" s="3">
        <v>90849</v>
      </c>
      <c r="F22" s="3">
        <v>96328</v>
      </c>
      <c r="G22" s="3">
        <v>101558</v>
      </c>
    </row>
    <row r="23" spans="2:7" x14ac:dyDescent="0.45">
      <c r="B23" s="1" t="s">
        <v>73</v>
      </c>
      <c r="C23" s="3">
        <v>-11722</v>
      </c>
      <c r="D23" s="3">
        <v>-12803</v>
      </c>
      <c r="E23" s="3">
        <v>-12497</v>
      </c>
      <c r="F23" s="3">
        <v>-11936</v>
      </c>
      <c r="G23" s="3">
        <v>-12327</v>
      </c>
    </row>
    <row r="24" spans="2:7" x14ac:dyDescent="0.45">
      <c r="B24" s="1" t="s">
        <v>74</v>
      </c>
      <c r="C24" s="3">
        <v>88108</v>
      </c>
      <c r="D24" s="3">
        <v>91013</v>
      </c>
      <c r="E24" s="3">
        <v>83793</v>
      </c>
      <c r="F24" s="3">
        <v>90110</v>
      </c>
      <c r="G24" s="3">
        <v>96094</v>
      </c>
    </row>
    <row r="25" spans="2:7" x14ac:dyDescent="0.45">
      <c r="B25" s="1" t="s">
        <v>75</v>
      </c>
      <c r="C25" s="3">
        <v>6357</v>
      </c>
      <c r="D25" s="3">
        <v>6679</v>
      </c>
      <c r="E25" s="3">
        <v>6855</v>
      </c>
      <c r="F25" s="3">
        <v>6747</v>
      </c>
      <c r="G25" s="3">
        <v>6418</v>
      </c>
    </row>
    <row r="26" spans="2:7" x14ac:dyDescent="0.45">
      <c r="B26" s="1" t="s">
        <v>76</v>
      </c>
      <c r="C26" s="3">
        <f>C12+C20</f>
        <v>432333</v>
      </c>
      <c r="D26" s="3">
        <f>D12+D20</f>
        <v>423954</v>
      </c>
      <c r="E26" s="3">
        <f>E12+E20</f>
        <v>434096</v>
      </c>
      <c r="F26" s="3">
        <f>F12+F20</f>
        <v>444817</v>
      </c>
      <c r="G26" s="3">
        <f>G12+G20</f>
        <v>474798</v>
      </c>
    </row>
    <row r="27" spans="2:7" x14ac:dyDescent="0.45">
      <c r="B27" s="1" t="s">
        <v>77</v>
      </c>
      <c r="C27" s="3">
        <v>88108</v>
      </c>
      <c r="D27" s="3">
        <v>91013</v>
      </c>
      <c r="E27" s="3">
        <v>83793</v>
      </c>
      <c r="F27" s="3">
        <v>90110</v>
      </c>
      <c r="G27" s="3">
        <v>96094</v>
      </c>
    </row>
    <row r="28" spans="2:7" x14ac:dyDescent="0.45">
      <c r="B28" s="1" t="s">
        <v>78</v>
      </c>
      <c r="C28" s="3">
        <v>61749</v>
      </c>
      <c r="D28" s="3">
        <v>60114</v>
      </c>
      <c r="E28" s="3">
        <v>67205</v>
      </c>
      <c r="F28" s="3">
        <v>65014</v>
      </c>
      <c r="G28" s="3">
        <v>68424</v>
      </c>
    </row>
    <row r="29" spans="2:7" x14ac:dyDescent="0.45">
      <c r="B29" s="1" t="s">
        <v>79</v>
      </c>
      <c r="C29" s="3">
        <v>51700</v>
      </c>
      <c r="D29" s="3">
        <v>51077</v>
      </c>
      <c r="E29" s="3">
        <v>57894</v>
      </c>
      <c r="F29" s="3">
        <v>55583</v>
      </c>
      <c r="G29" s="3">
        <v>57842</v>
      </c>
    </row>
    <row r="30" spans="2:7" x14ac:dyDescent="0.45">
      <c r="B30" s="1" t="s">
        <v>80</v>
      </c>
      <c r="C30" s="3">
        <v>199828</v>
      </c>
      <c r="D30" s="3">
        <v>196139</v>
      </c>
      <c r="E30" s="3">
        <v>198351</v>
      </c>
      <c r="F30" s="3">
        <v>203286</v>
      </c>
      <c r="G30" s="3">
        <v>216194</v>
      </c>
    </row>
    <row r="31" spans="2:7" x14ac:dyDescent="0.45">
      <c r="B31" s="1" t="s">
        <v>81</v>
      </c>
      <c r="C31" s="3">
        <v>124886</v>
      </c>
      <c r="D31" s="3">
        <v>127722</v>
      </c>
      <c r="E31" s="3">
        <v>127537</v>
      </c>
      <c r="F31" s="3">
        <v>130914</v>
      </c>
      <c r="G31" s="3">
        <v>138299</v>
      </c>
    </row>
    <row r="32" spans="2:7" x14ac:dyDescent="0.45">
      <c r="B32" s="1" t="s">
        <v>82</v>
      </c>
      <c r="C32" s="3">
        <v>-81996</v>
      </c>
      <c r="D32" s="3">
        <v>-83673</v>
      </c>
      <c r="E32" s="3">
        <v>-91471</v>
      </c>
      <c r="F32" s="3">
        <v>-91947</v>
      </c>
      <c r="G32" s="3">
        <v>-93223</v>
      </c>
    </row>
    <row r="33" spans="2:7" x14ac:dyDescent="0.45">
      <c r="B33" s="1" t="s">
        <v>83</v>
      </c>
      <c r="C33" s="3">
        <v>8034</v>
      </c>
      <c r="D33" s="3">
        <v>8024</v>
      </c>
      <c r="E33" s="3">
        <v>7986</v>
      </c>
      <c r="F33" s="3">
        <v>7975</v>
      </c>
      <c r="G33" s="3">
        <v>7972</v>
      </c>
    </row>
    <row r="34" spans="2:7" x14ac:dyDescent="0.45">
      <c r="B34" s="1"/>
      <c r="C34" s="3"/>
      <c r="D34" s="3"/>
      <c r="E34" s="3"/>
      <c r="F34" s="3"/>
      <c r="G34" s="3"/>
    </row>
    <row r="35" spans="2:7" x14ac:dyDescent="0.45">
      <c r="B35" s="1"/>
      <c r="C35" s="3"/>
      <c r="D35" s="3"/>
      <c r="E35" s="3"/>
      <c r="F35" s="3"/>
      <c r="G35" s="3"/>
    </row>
    <row r="36" spans="2:7" x14ac:dyDescent="0.45">
      <c r="B36" s="1" t="s">
        <v>84</v>
      </c>
      <c r="C36" s="6">
        <v>0.65370000000000006</v>
      </c>
      <c r="D36" s="6">
        <v>0.61529999999999996</v>
      </c>
      <c r="E36" s="6">
        <v>0.74140000000000006</v>
      </c>
      <c r="F36" s="6">
        <v>0.67120000000000002</v>
      </c>
      <c r="G36" s="6">
        <v>0.66749999999999998</v>
      </c>
    </row>
    <row r="37" spans="2:7" x14ac:dyDescent="0.45">
      <c r="B37" s="1" t="s">
        <v>85</v>
      </c>
      <c r="C37" s="6">
        <v>0</v>
      </c>
      <c r="D37" s="6">
        <v>-9.7999999999999997E-3</v>
      </c>
      <c r="E37" s="6">
        <v>5.8999999999999999E-3</v>
      </c>
      <c r="F37" s="6">
        <v>3.2300000000000002E-2</v>
      </c>
      <c r="G37" s="6">
        <v>6.5799999999999997E-2</v>
      </c>
    </row>
    <row r="38" spans="2:7" x14ac:dyDescent="0.45">
      <c r="B38" s="1" t="s">
        <v>86</v>
      </c>
      <c r="C38" s="6">
        <v>0</v>
      </c>
      <c r="D38" s="6">
        <v>-1.8499999999999999E-2</v>
      </c>
      <c r="E38" s="6">
        <v>1.1299999999999999E-2</v>
      </c>
      <c r="F38" s="6">
        <v>2.4899999999999999E-2</v>
      </c>
      <c r="G38" s="6">
        <v>6.3500000000000001E-2</v>
      </c>
    </row>
    <row r="39" spans="2:7" x14ac:dyDescent="0.45">
      <c r="B39" s="1" t="s">
        <v>87</v>
      </c>
      <c r="C39" s="6">
        <v>0</v>
      </c>
      <c r="D39" s="6">
        <v>3.3000000000000002E-2</v>
      </c>
      <c r="E39" s="6">
        <v>-7.9299999999999995E-2</v>
      </c>
      <c r="F39" s="6">
        <v>7.5399999999999995E-2</v>
      </c>
      <c r="G39" s="6">
        <v>6.6400000000000001E-2</v>
      </c>
    </row>
    <row r="40" spans="2:7" x14ac:dyDescent="0.45">
      <c r="B40" s="1" t="s">
        <v>88</v>
      </c>
      <c r="C40" s="6">
        <v>0</v>
      </c>
      <c r="D40" s="6">
        <v>2.2700000000000001E-2</v>
      </c>
      <c r="E40" s="6">
        <v>-1.4E-3</v>
      </c>
      <c r="F40" s="6">
        <v>2.6499999999999999E-2</v>
      </c>
      <c r="G40" s="6">
        <v>5.6399999999999999E-2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Income Statement(a)</vt:lpstr>
      <vt:lpstr>Income Statement(q)</vt:lpstr>
      <vt:lpstr>Cash Flow(a)</vt:lpstr>
      <vt:lpstr>Cash Flow(q)</vt:lpstr>
      <vt:lpstr>Balance Sheet(a)</vt:lpstr>
      <vt:lpstr>Balance Sheet(q)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2026-02-18T07:12:10Z</dcterms:created>
  <dcterms:modified xsi:type="dcterms:W3CDTF">2026-02-18T07:25:07Z</dcterms:modified>
</cp:coreProperties>
</file>