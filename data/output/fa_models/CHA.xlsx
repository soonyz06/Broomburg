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Model\data\output\fa_models\"/>
    </mc:Choice>
  </mc:AlternateContent>
  <xr:revisionPtr revIDLastSave="0" documentId="13_ncr:1_{7603EEF0-97BF-4059-9DC9-8EAE4631FE1F}" xr6:coauthVersionLast="47" xr6:coauthVersionMax="47" xr10:uidLastSave="{00000000-0000-0000-0000-000000000000}"/>
  <bookViews>
    <workbookView xWindow="-98" yWindow="-98" windowWidth="21795" windowHeight="13695" firstSheet="2" activeTab="2" xr2:uid="{00000000-000D-0000-FFFF-FFFF00000000}"/>
  </bookViews>
  <sheets>
    <sheet name="Main" sheetId="1" r:id="rId1"/>
    <sheet name="Income Statement(a)" sheetId="2" r:id="rId2"/>
    <sheet name="Income Statement(q)" sheetId="3" r:id="rId3"/>
    <sheet name="Cash Flow(a)" sheetId="4" r:id="rId4"/>
    <sheet name="Cash Flow(q)" sheetId="5" r:id="rId5"/>
    <sheet name="Balance Sheet(a)" sheetId="6" r:id="rId6"/>
    <sheet name="Balance Sheet(q)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2" l="1"/>
  <c r="J3" i="2"/>
  <c r="K3" i="2"/>
  <c r="L3" i="2"/>
  <c r="M3" i="2"/>
  <c r="N3" i="2"/>
  <c r="O3" i="2"/>
  <c r="P3" i="2"/>
  <c r="H3" i="2"/>
  <c r="G3" i="2"/>
  <c r="G6" i="2"/>
  <c r="I2" i="2"/>
  <c r="J2" i="2" s="1"/>
  <c r="K2" i="2" s="1"/>
  <c r="L2" i="2" s="1"/>
  <c r="M2" i="2" s="1"/>
  <c r="N2" i="2" s="1"/>
  <c r="O2" i="2" s="1"/>
  <c r="P2" i="2" s="1"/>
  <c r="H2" i="2"/>
  <c r="G5" i="2"/>
  <c r="G8" i="2"/>
  <c r="G2" i="2"/>
  <c r="F19" i="2"/>
  <c r="F22" i="2"/>
  <c r="F23" i="2"/>
  <c r="F24" i="2"/>
  <c r="F25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3" i="2"/>
  <c r="H22" i="3"/>
  <c r="H23" i="3"/>
  <c r="H24" i="3"/>
  <c r="H25" i="3"/>
  <c r="H18" i="3"/>
  <c r="H9" i="3"/>
  <c r="H10" i="3" s="1"/>
  <c r="H13" i="3" s="1"/>
  <c r="H8" i="3"/>
  <c r="H6" i="3"/>
  <c r="H5" i="3"/>
  <c r="H4" i="3" s="1"/>
  <c r="H3" i="3"/>
  <c r="G26" i="7"/>
  <c r="G20" i="7"/>
  <c r="F20" i="7"/>
  <c r="E20" i="7"/>
  <c r="D20" i="7"/>
  <c r="C20" i="7"/>
  <c r="G12" i="7"/>
  <c r="F12" i="7"/>
  <c r="F26" i="7" s="1"/>
  <c r="E12" i="7"/>
  <c r="E26" i="7" s="1"/>
  <c r="D12" i="7"/>
  <c r="C12" i="7"/>
  <c r="C26" i="6"/>
  <c r="E20" i="6"/>
  <c r="E26" i="6" s="1"/>
  <c r="D20" i="6"/>
  <c r="D26" i="6" s="1"/>
  <c r="C20" i="6"/>
  <c r="E12" i="6"/>
  <c r="D12" i="6"/>
  <c r="C12" i="6"/>
  <c r="G25" i="5"/>
  <c r="F25" i="5"/>
  <c r="E25" i="5"/>
  <c r="D25" i="5"/>
  <c r="C25" i="5"/>
  <c r="E25" i="4"/>
  <c r="D25" i="4"/>
  <c r="C25" i="4"/>
  <c r="G23" i="3"/>
  <c r="F23" i="3"/>
  <c r="G22" i="3"/>
  <c r="F22" i="3"/>
  <c r="E22" i="3"/>
  <c r="D22" i="3"/>
  <c r="G10" i="3"/>
  <c r="G24" i="3" s="1"/>
  <c r="F10" i="3"/>
  <c r="F24" i="3" s="1"/>
  <c r="G9" i="3"/>
  <c r="F9" i="3"/>
  <c r="E9" i="3"/>
  <c r="D9" i="3"/>
  <c r="C9" i="3"/>
  <c r="G5" i="3"/>
  <c r="F5" i="3"/>
  <c r="E5" i="3"/>
  <c r="E23" i="3" s="1"/>
  <c r="D5" i="3"/>
  <c r="D23" i="3" s="1"/>
  <c r="C5" i="3"/>
  <c r="C23" i="3" s="1"/>
  <c r="D23" i="2"/>
  <c r="C23" i="2"/>
  <c r="E22" i="2"/>
  <c r="D22" i="2"/>
  <c r="E9" i="2"/>
  <c r="D9" i="2"/>
  <c r="D10" i="2" s="1"/>
  <c r="C9" i="2"/>
  <c r="C10" i="2" s="1"/>
  <c r="E5" i="2"/>
  <c r="E23" i="2" s="1"/>
  <c r="D5" i="2"/>
  <c r="C5" i="2"/>
  <c r="J5" i="1"/>
  <c r="J8" i="1" s="1"/>
  <c r="D26" i="7" l="1"/>
  <c r="C26" i="7"/>
  <c r="G9" i="2"/>
  <c r="G22" i="2"/>
  <c r="G10" i="2"/>
  <c r="G13" i="2" s="1"/>
  <c r="G14" i="2" s="1"/>
  <c r="G16" i="2" s="1"/>
  <c r="G4" i="2"/>
  <c r="G23" i="2"/>
  <c r="H14" i="3"/>
  <c r="H16" i="3" s="1"/>
  <c r="C13" i="2"/>
  <c r="C16" i="2" s="1"/>
  <c r="C18" i="2" s="1"/>
  <c r="C25" i="2" s="1"/>
  <c r="C24" i="2"/>
  <c r="D24" i="2"/>
  <c r="D13" i="2"/>
  <c r="D16" i="2" s="1"/>
  <c r="D18" i="2" s="1"/>
  <c r="D25" i="2" s="1"/>
  <c r="F13" i="3"/>
  <c r="F16" i="3" s="1"/>
  <c r="F18" i="3" s="1"/>
  <c r="F25" i="3" s="1"/>
  <c r="E10" i="2"/>
  <c r="D10" i="3"/>
  <c r="G13" i="3"/>
  <c r="G16" i="3" s="1"/>
  <c r="G18" i="3" s="1"/>
  <c r="G25" i="3" s="1"/>
  <c r="C10" i="3"/>
  <c r="E10" i="3"/>
  <c r="G18" i="2" l="1"/>
  <c r="G25" i="2" s="1"/>
  <c r="H6" i="2"/>
  <c r="H22" i="2"/>
  <c r="H8" i="2"/>
  <c r="H5" i="2"/>
  <c r="G24" i="2"/>
  <c r="D24" i="3"/>
  <c r="D13" i="3"/>
  <c r="D16" i="3" s="1"/>
  <c r="D18" i="3" s="1"/>
  <c r="D25" i="3" s="1"/>
  <c r="E24" i="2"/>
  <c r="E13" i="2"/>
  <c r="E16" i="2" s="1"/>
  <c r="E18" i="2" s="1"/>
  <c r="E25" i="2" s="1"/>
  <c r="E24" i="3"/>
  <c r="E13" i="3"/>
  <c r="E16" i="3" s="1"/>
  <c r="E18" i="3" s="1"/>
  <c r="E25" i="3" s="1"/>
  <c r="C24" i="3"/>
  <c r="C13" i="3"/>
  <c r="C16" i="3" s="1"/>
  <c r="C18" i="3" s="1"/>
  <c r="C25" i="3" s="1"/>
  <c r="H4" i="2" l="1"/>
  <c r="H23" i="2"/>
  <c r="I6" i="2"/>
  <c r="I5" i="2"/>
  <c r="I22" i="2"/>
  <c r="I8" i="2"/>
  <c r="I9" i="2" s="1"/>
  <c r="H9" i="2"/>
  <c r="H10" i="2" s="1"/>
  <c r="I23" i="2" l="1"/>
  <c r="I10" i="2"/>
  <c r="I4" i="2"/>
  <c r="J6" i="2"/>
  <c r="J22" i="2"/>
  <c r="J8" i="2"/>
  <c r="J5" i="2"/>
  <c r="H13" i="2"/>
  <c r="H14" i="2" s="1"/>
  <c r="H16" i="2" s="1"/>
  <c r="H18" i="2" s="1"/>
  <c r="H24" i="2"/>
  <c r="J4" i="2" l="1"/>
  <c r="J23" i="2"/>
  <c r="K6" i="2"/>
  <c r="K8" i="2"/>
  <c r="K5" i="2"/>
  <c r="K22" i="2"/>
  <c r="J9" i="2"/>
  <c r="J10" i="2" s="1"/>
  <c r="I13" i="2"/>
  <c r="I14" i="2" s="1"/>
  <c r="I16" i="2" s="1"/>
  <c r="I24" i="2"/>
  <c r="H25" i="2"/>
  <c r="I18" i="2" l="1"/>
  <c r="I25" i="2" s="1"/>
  <c r="K4" i="2"/>
  <c r="K23" i="2"/>
  <c r="L6" i="2"/>
  <c r="L8" i="2"/>
  <c r="L5" i="2"/>
  <c r="L22" i="2"/>
  <c r="K9" i="2"/>
  <c r="K10" i="2" s="1"/>
  <c r="J24" i="2"/>
  <c r="J13" i="2"/>
  <c r="J14" i="2" s="1"/>
  <c r="J16" i="2" s="1"/>
  <c r="J18" i="2" s="1"/>
  <c r="K13" i="2" l="1"/>
  <c r="K14" i="2" s="1"/>
  <c r="K16" i="2" s="1"/>
  <c r="K24" i="2"/>
  <c r="L4" i="2"/>
  <c r="L23" i="2"/>
  <c r="L10" i="2"/>
  <c r="M6" i="2"/>
  <c r="M9" i="2" s="1"/>
  <c r="M5" i="2"/>
  <c r="M22" i="2"/>
  <c r="M8" i="2"/>
  <c r="L9" i="2"/>
  <c r="J25" i="2"/>
  <c r="K18" i="2" l="1"/>
  <c r="K25" i="2" s="1"/>
  <c r="N6" i="2"/>
  <c r="N22" i="2"/>
  <c r="N8" i="2"/>
  <c r="N5" i="2"/>
  <c r="M23" i="2"/>
  <c r="M4" i="2"/>
  <c r="M10" i="2"/>
  <c r="L13" i="2"/>
  <c r="L14" i="2" s="1"/>
  <c r="L16" i="2" s="1"/>
  <c r="L18" i="2" s="1"/>
  <c r="L24" i="2"/>
  <c r="M24" i="2" l="1"/>
  <c r="M13" i="2"/>
  <c r="M14" i="2" s="1"/>
  <c r="M16" i="2" s="1"/>
  <c r="N4" i="2"/>
  <c r="N23" i="2"/>
  <c r="N9" i="2"/>
  <c r="N10" i="2" s="1"/>
  <c r="L25" i="2"/>
  <c r="O6" i="2"/>
  <c r="O22" i="2"/>
  <c r="O8" i="2"/>
  <c r="O5" i="2"/>
  <c r="M18" i="2" l="1"/>
  <c r="M25" i="2" s="1"/>
  <c r="N24" i="2"/>
  <c r="N13" i="2"/>
  <c r="N14" i="2" s="1"/>
  <c r="N16" i="2" s="1"/>
  <c r="N18" i="2" s="1"/>
  <c r="O23" i="2"/>
  <c r="O4" i="2"/>
  <c r="O9" i="2"/>
  <c r="O10" i="2" s="1"/>
  <c r="P6" i="2"/>
  <c r="P22" i="2"/>
  <c r="P8" i="2"/>
  <c r="P5" i="2"/>
  <c r="P9" i="2" l="1"/>
  <c r="O24" i="2"/>
  <c r="O13" i="2"/>
  <c r="O14" i="2" s="1"/>
  <c r="O16" i="2" s="1"/>
  <c r="P23" i="2"/>
  <c r="P10" i="2"/>
  <c r="P4" i="2"/>
  <c r="N25" i="2"/>
  <c r="O18" i="2" l="1"/>
  <c r="O25" i="2" s="1"/>
  <c r="P24" i="2"/>
  <c r="P13" i="2"/>
  <c r="P14" i="2" s="1"/>
  <c r="P16" i="2" s="1"/>
  <c r="P18" i="2" s="1"/>
  <c r="P25" i="2" l="1"/>
  <c r="Q18" i="2"/>
  <c r="R18" i="2" s="1"/>
  <c r="S18" i="2" s="1"/>
  <c r="T18" i="2" s="1"/>
  <c r="U18" i="2" s="1"/>
  <c r="V18" i="2" s="1"/>
  <c r="W18" i="2" s="1"/>
  <c r="X18" i="2" s="1"/>
  <c r="Y18" i="2" s="1"/>
  <c r="Z18" i="2" s="1"/>
  <c r="AA18" i="2" s="1"/>
  <c r="AB18" i="2" s="1"/>
  <c r="AC18" i="2" s="1"/>
  <c r="AD18" i="2" s="1"/>
  <c r="AE18" i="2" s="1"/>
  <c r="AF18" i="2" s="1"/>
  <c r="AG18" i="2" s="1"/>
  <c r="AH18" i="2" s="1"/>
  <c r="AI18" i="2" s="1"/>
  <c r="AJ18" i="2" s="1"/>
  <c r="AK18" i="2" s="1"/>
  <c r="AL18" i="2" s="1"/>
  <c r="AM18" i="2" s="1"/>
  <c r="AN18" i="2" s="1"/>
  <c r="AO18" i="2" s="1"/>
  <c r="AP18" i="2" s="1"/>
  <c r="AQ18" i="2" s="1"/>
  <c r="AR18" i="2" s="1"/>
  <c r="AS18" i="2" s="1"/>
  <c r="AT18" i="2" s="1"/>
  <c r="AU18" i="2" s="1"/>
  <c r="AV18" i="2" s="1"/>
  <c r="AW18" i="2" s="1"/>
  <c r="AX18" i="2" s="1"/>
  <c r="AY18" i="2" s="1"/>
  <c r="AZ18" i="2" s="1"/>
  <c r="BA18" i="2" s="1"/>
  <c r="BB18" i="2" s="1"/>
  <c r="BC18" i="2" s="1"/>
  <c r="BD18" i="2" s="1"/>
  <c r="BE18" i="2" s="1"/>
  <c r="BF18" i="2" s="1"/>
  <c r="BG18" i="2" s="1"/>
  <c r="BH18" i="2" s="1"/>
  <c r="BI18" i="2" s="1"/>
  <c r="BJ18" i="2" s="1"/>
  <c r="BK18" i="2" s="1"/>
  <c r="BL18" i="2" s="1"/>
  <c r="BM18" i="2" s="1"/>
  <c r="BN18" i="2" s="1"/>
  <c r="BO18" i="2" s="1"/>
  <c r="BP18" i="2" s="1"/>
  <c r="BQ18" i="2" s="1"/>
  <c r="BR18" i="2" s="1"/>
  <c r="BS18" i="2" s="1"/>
  <c r="BT18" i="2" s="1"/>
  <c r="BU18" i="2" s="1"/>
  <c r="BV18" i="2" s="1"/>
  <c r="BW18" i="2" s="1"/>
  <c r="BX18" i="2" s="1"/>
  <c r="BY18" i="2" s="1"/>
  <c r="BZ18" i="2" s="1"/>
  <c r="CA18" i="2" s="1"/>
  <c r="CB18" i="2" s="1"/>
  <c r="CC18" i="2" s="1"/>
  <c r="CD18" i="2" s="1"/>
  <c r="CE18" i="2" s="1"/>
  <c r="CF18" i="2" s="1"/>
  <c r="CG18" i="2" s="1"/>
  <c r="CH18" i="2" s="1"/>
  <c r="CI18" i="2" s="1"/>
  <c r="CJ18" i="2" s="1"/>
  <c r="CK18" i="2" s="1"/>
  <c r="CL18" i="2" s="1"/>
  <c r="CM18" i="2" s="1"/>
  <c r="CN18" i="2" s="1"/>
  <c r="CO18" i="2" s="1"/>
  <c r="CP18" i="2" s="1"/>
  <c r="CQ18" i="2" s="1"/>
  <c r="CR18" i="2" s="1"/>
  <c r="CS18" i="2" s="1"/>
  <c r="CT18" i="2" s="1"/>
  <c r="CU18" i="2" s="1"/>
  <c r="CV18" i="2" s="1"/>
  <c r="CW18" i="2" s="1"/>
  <c r="CX18" i="2" s="1"/>
  <c r="CY18" i="2" s="1"/>
  <c r="CZ18" i="2" s="1"/>
  <c r="DA18" i="2" s="1"/>
  <c r="DB18" i="2" s="1"/>
  <c r="DC18" i="2" s="1"/>
  <c r="DD18" i="2" s="1"/>
  <c r="DE18" i="2" s="1"/>
  <c r="DF18" i="2" s="1"/>
  <c r="DG18" i="2" s="1"/>
  <c r="DH18" i="2" s="1"/>
  <c r="DI18" i="2" s="1"/>
  <c r="DJ18" i="2" s="1"/>
  <c r="DK18" i="2" s="1"/>
  <c r="DL18" i="2" s="1"/>
  <c r="DM18" i="2" s="1"/>
  <c r="DN18" i="2" s="1"/>
  <c r="DO18" i="2" s="1"/>
  <c r="DP18" i="2" s="1"/>
  <c r="DQ18" i="2" s="1"/>
  <c r="DR18" i="2" s="1"/>
  <c r="DS18" i="2" s="1"/>
  <c r="DT18" i="2" s="1"/>
  <c r="DU18" i="2" s="1"/>
  <c r="DV18" i="2" s="1"/>
  <c r="DW18" i="2" s="1"/>
  <c r="DX18" i="2" s="1"/>
  <c r="DY18" i="2" s="1"/>
  <c r="DZ18" i="2" s="1"/>
  <c r="EA18" i="2" s="1"/>
  <c r="EB18" i="2" s="1"/>
  <c r="EC18" i="2" s="1"/>
  <c r="ED18" i="2" s="1"/>
  <c r="EE18" i="2" s="1"/>
  <c r="EF18" i="2" s="1"/>
  <c r="EG18" i="2" s="1"/>
  <c r="EH18" i="2" s="1"/>
  <c r="EI18" i="2" s="1"/>
  <c r="EJ18" i="2" s="1"/>
  <c r="EK18" i="2" s="1"/>
  <c r="EL18" i="2" s="1"/>
  <c r="EM18" i="2" s="1"/>
  <c r="EN18" i="2" s="1"/>
  <c r="EO18" i="2" s="1"/>
  <c r="EP18" i="2" s="1"/>
  <c r="EQ18" i="2" s="1"/>
  <c r="ER18" i="2" s="1"/>
  <c r="ES18" i="2" s="1"/>
  <c r="ET18" i="2" s="1"/>
  <c r="EU18" i="2" s="1"/>
  <c r="EV18" i="2" s="1"/>
  <c r="EW18" i="2" s="1"/>
  <c r="EX18" i="2" s="1"/>
  <c r="EY18" i="2" s="1"/>
  <c r="EZ18" i="2" s="1"/>
  <c r="FA18" i="2" s="1"/>
  <c r="FB18" i="2" s="1"/>
  <c r="FC18" i="2" s="1"/>
  <c r="FD18" i="2" s="1"/>
  <c r="FE18" i="2" s="1"/>
  <c r="FF18" i="2" s="1"/>
  <c r="FG18" i="2" s="1"/>
  <c r="FH18" i="2" s="1"/>
  <c r="FI18" i="2" s="1"/>
  <c r="FJ18" i="2" s="1"/>
  <c r="FK18" i="2" s="1"/>
  <c r="FL18" i="2" s="1"/>
  <c r="FM18" i="2" s="1"/>
  <c r="FN18" i="2" s="1"/>
  <c r="FO18" i="2" s="1"/>
  <c r="FP18" i="2" s="1"/>
  <c r="FQ18" i="2" s="1"/>
  <c r="FR18" i="2" s="1"/>
  <c r="FS18" i="2" s="1"/>
  <c r="FT18" i="2" s="1"/>
  <c r="FU18" i="2" s="1"/>
  <c r="FV18" i="2" s="1"/>
  <c r="FW18" i="2" s="1"/>
  <c r="FX18" i="2" s="1"/>
  <c r="FY18" i="2" s="1"/>
  <c r="FZ18" i="2" s="1"/>
  <c r="GA18" i="2" s="1"/>
  <c r="GB18" i="2" s="1"/>
  <c r="GC18" i="2" s="1"/>
  <c r="GD18" i="2" s="1"/>
  <c r="GE18" i="2" s="1"/>
  <c r="GF18" i="2" s="1"/>
  <c r="GG18" i="2" s="1"/>
  <c r="GH18" i="2" s="1"/>
  <c r="GI18" i="2" s="1"/>
  <c r="GJ18" i="2" s="1"/>
  <c r="GK18" i="2" s="1"/>
  <c r="GL18" i="2" s="1"/>
  <c r="GM18" i="2" s="1"/>
  <c r="GN18" i="2" s="1"/>
  <c r="GO18" i="2" s="1"/>
  <c r="GP18" i="2" s="1"/>
  <c r="GQ18" i="2" s="1"/>
  <c r="S24" i="2" s="1"/>
  <c r="S25" i="2" s="1"/>
  <c r="S26" i="2" s="1"/>
</calcChain>
</file>

<file path=xl/sharedStrings.xml><?xml version="1.0" encoding="utf-8"?>
<sst xmlns="http://schemas.openxmlformats.org/spreadsheetml/2006/main" count="196" uniqueCount="99">
  <si>
    <t>USD (in thousands)</t>
  </si>
  <si>
    <t>Revenue</t>
  </si>
  <si>
    <t>COGS</t>
  </si>
  <si>
    <t>Gross Profit</t>
  </si>
  <si>
    <t>SG&amp;A</t>
  </si>
  <si>
    <t>R&amp;D</t>
  </si>
  <si>
    <t>Others</t>
  </si>
  <si>
    <t>Operating Expense</t>
  </si>
  <si>
    <t>Operating Income</t>
  </si>
  <si>
    <t>Net Interest</t>
  </si>
  <si>
    <t>Other Income</t>
  </si>
  <si>
    <t>Pretax Income</t>
  </si>
  <si>
    <t>Taxes</t>
  </si>
  <si>
    <t>After-Tax Adj</t>
  </si>
  <si>
    <t>Net Income</t>
  </si>
  <si>
    <t>Other Stockholders</t>
  </si>
  <si>
    <t>NI Common</t>
  </si>
  <si>
    <t>Avg Shares</t>
  </si>
  <si>
    <t>Rev Growth</t>
  </si>
  <si>
    <t>Gross Margin</t>
  </si>
  <si>
    <t>Op Margin</t>
  </si>
  <si>
    <t>Net Margin</t>
  </si>
  <si>
    <t>FY24Q3</t>
  </si>
  <si>
    <t>FY23Q4</t>
  </si>
  <si>
    <t>FY25Q1</t>
  </si>
  <si>
    <t>FY25Q2</t>
  </si>
  <si>
    <t>FY25Q3</t>
  </si>
  <si>
    <t>D&amp;A</t>
  </si>
  <si>
    <t>Change In Working Capital</t>
  </si>
  <si>
    <t>Other Adj</t>
  </si>
  <si>
    <t>CFO</t>
  </si>
  <si>
    <t>Purchase Of Business</t>
  </si>
  <si>
    <t>Purchase Of Investment</t>
  </si>
  <si>
    <t>Sale Of Investment</t>
  </si>
  <si>
    <t>Other Investing</t>
  </si>
  <si>
    <t>CFI</t>
  </si>
  <si>
    <t>Repayment Of Debt</t>
  </si>
  <si>
    <t>Repurchase Of Capital Stock</t>
  </si>
  <si>
    <t>Cash Dividends Paid</t>
  </si>
  <si>
    <t>Common Stock Issuance</t>
  </si>
  <si>
    <t>Other Financing</t>
  </si>
  <si>
    <t>CFF</t>
  </si>
  <si>
    <t>Changes In Cash</t>
  </si>
  <si>
    <t>Supplementary Adj</t>
  </si>
  <si>
    <t>Beginning Cash Position</t>
  </si>
  <si>
    <t>End Cash Position</t>
  </si>
  <si>
    <t>OCF</t>
  </si>
  <si>
    <t>Cap Ex</t>
  </si>
  <si>
    <t>FCF</t>
  </si>
  <si>
    <t>CFGrowth</t>
  </si>
  <si>
    <t>CXChange</t>
  </si>
  <si>
    <t>FCFGrowth</t>
  </si>
  <si>
    <t>FCFMargin</t>
  </si>
  <si>
    <t>Cash &amp; Short Inv</t>
  </si>
  <si>
    <t>Accounts Receivable</t>
  </si>
  <si>
    <t>Inventory</t>
  </si>
  <si>
    <t>Other Current Assets</t>
  </si>
  <si>
    <t>Current Assets</t>
  </si>
  <si>
    <t>PPE</t>
  </si>
  <si>
    <t>Goodwill</t>
  </si>
  <si>
    <t>Other Assets</t>
  </si>
  <si>
    <t>Non-Current Assets</t>
  </si>
  <si>
    <t>Total Assets</t>
  </si>
  <si>
    <t>Accounts Payable</t>
  </si>
  <si>
    <t>Short Term Debt</t>
  </si>
  <si>
    <t>Other Current Liabilities</t>
  </si>
  <si>
    <t>Current Liabilities</t>
  </si>
  <si>
    <t>Long Term Debt</t>
  </si>
  <si>
    <t>Other Liabilities</t>
  </si>
  <si>
    <t>Non-Current Liabilities</t>
  </si>
  <si>
    <t>Total Liabilities</t>
  </si>
  <si>
    <t>Additional Paid In Capital</t>
  </si>
  <si>
    <t>Retained Earnings</t>
  </si>
  <si>
    <t>Accumulated Other Changes</t>
  </si>
  <si>
    <t>Stockholders Equity</t>
  </si>
  <si>
    <t>Non-Controlling Interest</t>
  </si>
  <si>
    <t>Total Equity</t>
  </si>
  <si>
    <t>Common Stock Equity</t>
  </si>
  <si>
    <t>Total Debt</t>
  </si>
  <si>
    <t>Net Debt</t>
  </si>
  <si>
    <t>Tangible Assets</t>
  </si>
  <si>
    <t>Invested Capital</t>
  </si>
  <si>
    <t>NCAV</t>
  </si>
  <si>
    <t>Shares</t>
  </si>
  <si>
    <t>D_E</t>
  </si>
  <si>
    <t>Assets Growth</t>
  </si>
  <si>
    <t>TAGrowth</t>
  </si>
  <si>
    <t>Equity Growth</t>
  </si>
  <si>
    <t>ICGrowth</t>
  </si>
  <si>
    <t>Price</t>
  </si>
  <si>
    <t>MC</t>
  </si>
  <si>
    <t>Cash</t>
  </si>
  <si>
    <t>Debt</t>
  </si>
  <si>
    <t>EV</t>
  </si>
  <si>
    <t>FY25Q4</t>
  </si>
  <si>
    <t>Maturity</t>
  </si>
  <si>
    <t>Discount</t>
  </si>
  <si>
    <t>NPV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</si>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</sst>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4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  <xf numFmtId="3" fontId="0" fillId="0" borderId="0" xfId="0" applyNumberFormat="1"/>
    <xf numFmtId="9" fontId="0" fillId="0" borderId="0" xfId="0" applyNumberFormat="1"/>
    <xf numFmtId="1" fontId="0" fillId="2" borderId="0" xfId="0" applyNumberFormat="1" applyFill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J8"/>
  <sheetViews>
    <sheetView workbookViewId="0"/>
  </sheetViews>
  <sheetFormatPr defaultRowHeight="14.25" x14ac:dyDescent="0.45"/>
  <cols>
    <col min="2" max="2" width="12.73046875" customWidth="1"/>
    <col min="9" max="9" width="8.73046875" customWidth="1"/>
  </cols>
  <sheetData>
    <row r="3" spans="2:10" x14ac:dyDescent="0.45">
      <c r="B3" s="1" t="s">
        <v>0</v>
      </c>
      <c r="I3" s="1" t="s">
        <v>89</v>
      </c>
      <c r="J3" s="2">
        <v>10.31</v>
      </c>
    </row>
    <row r="4" spans="2:10" x14ac:dyDescent="0.45">
      <c r="I4" s="1" t="s">
        <v>83</v>
      </c>
      <c r="J4" s="3">
        <v>185752.50746847721</v>
      </c>
    </row>
    <row r="5" spans="2:10" x14ac:dyDescent="0.45">
      <c r="I5" s="1" t="s">
        <v>90</v>
      </c>
      <c r="J5" s="3">
        <f>J3*J4</f>
        <v>1915108.3520000002</v>
      </c>
    </row>
    <row r="6" spans="2:10" x14ac:dyDescent="0.45">
      <c r="I6" s="1" t="s">
        <v>91</v>
      </c>
      <c r="J6" s="3">
        <v>1280341</v>
      </c>
    </row>
    <row r="7" spans="2:10" x14ac:dyDescent="0.45">
      <c r="I7" s="1" t="s">
        <v>92</v>
      </c>
      <c r="J7" s="3">
        <v>140634</v>
      </c>
    </row>
    <row r="8" spans="2:10" x14ac:dyDescent="0.45">
      <c r="I8" s="1" t="s">
        <v>93</v>
      </c>
      <c r="J8" s="3">
        <f>J5+J7-J6</f>
        <v>775401.35200000019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Q26"/>
  <sheetViews>
    <sheetView topLeftCell="B1" workbookViewId="0">
      <selection activeCell="N2" sqref="N2"/>
    </sheetView>
  </sheetViews>
  <sheetFormatPr defaultRowHeight="14.25" x14ac:dyDescent="0.45"/>
  <cols>
    <col min="2" max="2" width="20.73046875" customWidth="1"/>
    <col min="7" max="16" width="9.265625" bestFit="1" customWidth="1"/>
  </cols>
  <sheetData>
    <row r="2" spans="2:16" x14ac:dyDescent="0.45">
      <c r="C2" s="4">
        <v>2022</v>
      </c>
      <c r="D2" s="4">
        <v>2023</v>
      </c>
      <c r="E2" s="4">
        <v>2024</v>
      </c>
      <c r="F2" s="4">
        <v>2025</v>
      </c>
      <c r="G2" s="8">
        <f>F2+1</f>
        <v>2026</v>
      </c>
      <c r="H2" s="8">
        <f>G2+1</f>
        <v>2027</v>
      </c>
      <c r="I2" s="8">
        <f t="shared" ref="I2:P2" si="0">H2+1</f>
        <v>2028</v>
      </c>
      <c r="J2" s="8">
        <f t="shared" si="0"/>
        <v>2029</v>
      </c>
      <c r="K2" s="8">
        <f t="shared" si="0"/>
        <v>2030</v>
      </c>
      <c r="L2" s="8">
        <f t="shared" si="0"/>
        <v>2031</v>
      </c>
      <c r="M2" s="8">
        <f t="shared" si="0"/>
        <v>2032</v>
      </c>
      <c r="N2" s="8">
        <f t="shared" si="0"/>
        <v>2033</v>
      </c>
      <c r="O2" s="8">
        <f t="shared" si="0"/>
        <v>2034</v>
      </c>
      <c r="P2" s="8">
        <f t="shared" si="0"/>
        <v>2035</v>
      </c>
    </row>
    <row r="3" spans="2:16" x14ac:dyDescent="0.45">
      <c r="B3" s="1" t="s">
        <v>1</v>
      </c>
      <c r="C3" s="3">
        <v>70608</v>
      </c>
      <c r="D3" s="3">
        <v>652902</v>
      </c>
      <c r="E3" s="3">
        <v>1699837</v>
      </c>
      <c r="F3" s="6">
        <f>SUM('Income Statement(q)'!E3:H3)</f>
        <v>1832988</v>
      </c>
      <c r="G3" s="6">
        <f>F3*1.03</f>
        <v>1887977.6400000001</v>
      </c>
      <c r="H3" s="6">
        <f>G3*1.01</f>
        <v>1906857.4164000002</v>
      </c>
      <c r="I3" s="6">
        <f t="shared" ref="I3:P3" si="1">H3*1.01</f>
        <v>1925925.9905640003</v>
      </c>
      <c r="J3" s="6">
        <f t="shared" si="1"/>
        <v>1945185.2504696404</v>
      </c>
      <c r="K3" s="6">
        <f t="shared" si="1"/>
        <v>1964637.1029743368</v>
      </c>
      <c r="L3" s="6">
        <f t="shared" si="1"/>
        <v>1984283.4740040803</v>
      </c>
      <c r="M3" s="6">
        <f t="shared" si="1"/>
        <v>2004126.3087441211</v>
      </c>
      <c r="N3" s="6">
        <f t="shared" si="1"/>
        <v>2024167.5718315623</v>
      </c>
      <c r="O3" s="6">
        <f t="shared" si="1"/>
        <v>2044409.247549878</v>
      </c>
      <c r="P3" s="6">
        <f t="shared" si="1"/>
        <v>2064853.3400253768</v>
      </c>
    </row>
    <row r="4" spans="2:16" x14ac:dyDescent="0.45">
      <c r="B4" s="1" t="s">
        <v>2</v>
      </c>
      <c r="C4" s="3">
        <v>-51498</v>
      </c>
      <c r="D4" s="3">
        <v>-375494</v>
      </c>
      <c r="E4" s="3">
        <v>-921344</v>
      </c>
      <c r="F4" s="6">
        <f>SUM('Income Statement(q)'!E4:H4)</f>
        <v>-972390.07000000007</v>
      </c>
      <c r="G4" s="6">
        <f>G5-G3</f>
        <v>-1038387.702</v>
      </c>
      <c r="H4" s="6">
        <f>H5-H3</f>
        <v>-1048580.8932783601</v>
      </c>
      <c r="I4" s="6">
        <f t="shared" ref="I4:P4" si="2">I5-I3</f>
        <v>-1058874.1096120873</v>
      </c>
      <c r="J4" s="6">
        <f t="shared" si="2"/>
        <v>-1069268.3321831613</v>
      </c>
      <c r="K4" s="6">
        <f t="shared" si="2"/>
        <v>-1079764.5517946957</v>
      </c>
      <c r="L4" s="6">
        <f t="shared" si="2"/>
        <v>-1090363.7689652422</v>
      </c>
      <c r="M4" s="6">
        <f t="shared" si="2"/>
        <v>-1101066.9940240202</v>
      </c>
      <c r="N4" s="6">
        <f t="shared" si="2"/>
        <v>-1111875.2472070772</v>
      </c>
      <c r="O4" s="6">
        <f t="shared" si="2"/>
        <v>-1122789.5587543931</v>
      </c>
      <c r="P4" s="6">
        <f t="shared" si="2"/>
        <v>-1133810.9690079344</v>
      </c>
    </row>
    <row r="5" spans="2:16" x14ac:dyDescent="0.45">
      <c r="B5" s="1" t="s">
        <v>3</v>
      </c>
      <c r="C5" s="3">
        <f>C3+C4</f>
        <v>19110</v>
      </c>
      <c r="D5" s="3">
        <f>D3+D4</f>
        <v>277408</v>
      </c>
      <c r="E5" s="3">
        <f>E3+E4</f>
        <v>778493</v>
      </c>
      <c r="F5" s="6">
        <f>SUM('Income Statement(q)'!E5:H5)</f>
        <v>860597.92999999993</v>
      </c>
      <c r="G5" s="6">
        <f>G3*0.45</f>
        <v>849589.93800000008</v>
      </c>
      <c r="H5" s="6">
        <f>H3*(G5/G3+0.0001)</f>
        <v>858276.52312164009</v>
      </c>
      <c r="I5" s="6">
        <f t="shared" ref="I5:P5" si="3">I3*(H5/H3+0.0001)</f>
        <v>867051.88095191296</v>
      </c>
      <c r="J5" s="6">
        <f t="shared" si="3"/>
        <v>875916.91828647896</v>
      </c>
      <c r="K5" s="6">
        <f t="shared" si="3"/>
        <v>884872.55117964128</v>
      </c>
      <c r="L5" s="6">
        <f t="shared" si="3"/>
        <v>893919.70503883809</v>
      </c>
      <c r="M5" s="6">
        <f t="shared" si="3"/>
        <v>903059.31472010084</v>
      </c>
      <c r="N5" s="6">
        <f t="shared" si="3"/>
        <v>912292.32462448499</v>
      </c>
      <c r="O5" s="6">
        <f t="shared" si="3"/>
        <v>921619.68879548484</v>
      </c>
      <c r="P5" s="6">
        <f t="shared" si="3"/>
        <v>931042.3710174422</v>
      </c>
    </row>
    <row r="6" spans="2:16" x14ac:dyDescent="0.45">
      <c r="B6" s="1" t="s">
        <v>4</v>
      </c>
      <c r="C6" s="3">
        <v>-24865</v>
      </c>
      <c r="D6" s="3">
        <v>-87894</v>
      </c>
      <c r="E6" s="3">
        <v>-304504</v>
      </c>
      <c r="F6" s="6">
        <f>SUM('Income Statement(q)'!E6:H6)</f>
        <v>-503284.5</v>
      </c>
      <c r="G6" s="6">
        <f>G3*-0.25</f>
        <v>-471994.41000000003</v>
      </c>
      <c r="H6" s="6">
        <f>H3*(G6/G3+0.008)</f>
        <v>-461459.49476880004</v>
      </c>
      <c r="I6" s="6">
        <f t="shared" ref="I6:P6" si="4">I3*(H6/H3+0.008)</f>
        <v>-450666.68179197604</v>
      </c>
      <c r="J6" s="6">
        <f t="shared" si="4"/>
        <v>-439611.8666061387</v>
      </c>
      <c r="K6" s="6">
        <f t="shared" si="4"/>
        <v>-428290.88844840537</v>
      </c>
      <c r="L6" s="6">
        <f t="shared" si="4"/>
        <v>-416699.52954085678</v>
      </c>
      <c r="M6" s="6">
        <f t="shared" si="4"/>
        <v>-404833.51436631236</v>
      </c>
      <c r="N6" s="6">
        <f t="shared" si="4"/>
        <v>-392688.50893532299</v>
      </c>
      <c r="O6" s="6">
        <f t="shared" si="4"/>
        <v>-380260.12004427717</v>
      </c>
      <c r="P6" s="6">
        <f t="shared" si="4"/>
        <v>-367543.89452451695</v>
      </c>
    </row>
    <row r="7" spans="2:16" x14ac:dyDescent="0.45">
      <c r="B7" s="1" t="s">
        <v>5</v>
      </c>
      <c r="C7" s="3">
        <v>0</v>
      </c>
      <c r="D7" s="3">
        <v>0</v>
      </c>
      <c r="E7" s="3">
        <v>0</v>
      </c>
      <c r="F7" s="6">
        <f>SUM('Income Statement(q)'!E7:H7)</f>
        <v>0</v>
      </c>
      <c r="G7" s="6"/>
      <c r="H7" s="6"/>
      <c r="I7" s="6"/>
      <c r="J7" s="6"/>
      <c r="K7" s="6"/>
      <c r="L7" s="6"/>
      <c r="M7" s="6"/>
      <c r="N7" s="6"/>
      <c r="O7" s="6"/>
      <c r="P7" s="6"/>
    </row>
    <row r="8" spans="2:16" x14ac:dyDescent="0.45">
      <c r="B8" s="1" t="s">
        <v>6</v>
      </c>
      <c r="C8" s="3">
        <v>-10882</v>
      </c>
      <c r="D8" s="3">
        <v>-38381</v>
      </c>
      <c r="E8" s="3">
        <v>-78462</v>
      </c>
      <c r="F8" s="6">
        <f>SUM('Income Statement(q)'!E8:H8)</f>
        <v>-95623.3</v>
      </c>
      <c r="G8" s="6">
        <f>G3*-0.05</f>
        <v>-94398.882000000012</v>
      </c>
      <c r="H8" s="6">
        <f>H3*-0.05</f>
        <v>-95342.870820000011</v>
      </c>
      <c r="I8" s="6">
        <f t="shared" ref="I8:P8" si="5">I3*-0.05</f>
        <v>-96296.299528200019</v>
      </c>
      <c r="J8" s="6">
        <f t="shared" si="5"/>
        <v>-97259.26252348203</v>
      </c>
      <c r="K8" s="6">
        <f t="shared" si="5"/>
        <v>-98231.855148716844</v>
      </c>
      <c r="L8" s="6">
        <f t="shared" si="5"/>
        <v>-99214.173700204017</v>
      </c>
      <c r="M8" s="6">
        <f t="shared" si="5"/>
        <v>-100206.31543720607</v>
      </c>
      <c r="N8" s="6">
        <f t="shared" si="5"/>
        <v>-101208.37859157812</v>
      </c>
      <c r="O8" s="6">
        <f t="shared" si="5"/>
        <v>-102220.46237749391</v>
      </c>
      <c r="P8" s="6">
        <f t="shared" si="5"/>
        <v>-103242.66700126884</v>
      </c>
    </row>
    <row r="9" spans="2:16" x14ac:dyDescent="0.45">
      <c r="B9" s="1" t="s">
        <v>7</v>
      </c>
      <c r="C9" s="3">
        <f>C6+C7+C8</f>
        <v>-35747</v>
      </c>
      <c r="D9" s="3">
        <f>D6+D7+D8</f>
        <v>-126275</v>
      </c>
      <c r="E9" s="3">
        <f>E6+E7+E8</f>
        <v>-382966</v>
      </c>
      <c r="F9" s="6">
        <f>SUM('Income Statement(q)'!E9:H9)</f>
        <v>-598907.80000000005</v>
      </c>
      <c r="G9" s="3">
        <f>G6+G7+G8</f>
        <v>-566393.29200000002</v>
      </c>
      <c r="H9" s="3">
        <f>H6+H7+H8</f>
        <v>-556802.36558880005</v>
      </c>
      <c r="I9" s="3">
        <f t="shared" ref="I9:P9" si="6">I6+I7+I8</f>
        <v>-546962.98132017604</v>
      </c>
      <c r="J9" s="3">
        <f t="shared" si="6"/>
        <v>-536871.12912962073</v>
      </c>
      <c r="K9" s="3">
        <f t="shared" si="6"/>
        <v>-526522.74359712226</v>
      </c>
      <c r="L9" s="3">
        <f t="shared" si="6"/>
        <v>-515913.70324106078</v>
      </c>
      <c r="M9" s="3">
        <f t="shared" si="6"/>
        <v>-505039.82980351843</v>
      </c>
      <c r="N9" s="3">
        <f t="shared" si="6"/>
        <v>-493896.88752690109</v>
      </c>
      <c r="O9" s="3">
        <f t="shared" si="6"/>
        <v>-482480.58242177108</v>
      </c>
      <c r="P9" s="3">
        <f t="shared" si="6"/>
        <v>-470786.56152578577</v>
      </c>
    </row>
    <row r="10" spans="2:16" x14ac:dyDescent="0.45">
      <c r="B10" s="1" t="s">
        <v>8</v>
      </c>
      <c r="C10" s="3">
        <f>C5+C9</f>
        <v>-16637</v>
      </c>
      <c r="D10" s="3">
        <f>D5+D9</f>
        <v>151133</v>
      </c>
      <c r="E10" s="3">
        <f>E5+E9</f>
        <v>395527</v>
      </c>
      <c r="F10" s="6">
        <f>SUM('Income Statement(q)'!E10:H10)</f>
        <v>261690.13</v>
      </c>
      <c r="G10" s="3">
        <f>G5+G9</f>
        <v>283196.64600000007</v>
      </c>
      <c r="H10" s="3">
        <f>H5+H9</f>
        <v>301474.15753284004</v>
      </c>
      <c r="I10" s="3">
        <f t="shared" ref="I10:P10" si="7">I5+I9</f>
        <v>320088.89963173692</v>
      </c>
      <c r="J10" s="3">
        <f t="shared" si="7"/>
        <v>339045.78915685823</v>
      </c>
      <c r="K10" s="3">
        <f t="shared" si="7"/>
        <v>358349.80758251902</v>
      </c>
      <c r="L10" s="3">
        <f t="shared" si="7"/>
        <v>378006.00179777731</v>
      </c>
      <c r="M10" s="3">
        <f t="shared" si="7"/>
        <v>398019.48491658241</v>
      </c>
      <c r="N10" s="3">
        <f t="shared" si="7"/>
        <v>418395.4370975839</v>
      </c>
      <c r="O10" s="3">
        <f t="shared" si="7"/>
        <v>439139.10637371376</v>
      </c>
      <c r="P10" s="3">
        <f t="shared" si="7"/>
        <v>460255.80949165643</v>
      </c>
    </row>
    <row r="11" spans="2:16" x14ac:dyDescent="0.45">
      <c r="B11" s="1" t="s">
        <v>9</v>
      </c>
      <c r="C11" s="3">
        <v>275</v>
      </c>
      <c r="D11" s="3">
        <v>2394</v>
      </c>
      <c r="E11" s="3">
        <v>5112</v>
      </c>
      <c r="F11" s="6">
        <f>SUM('Income Statement(q)'!E11:H11)</f>
        <v>14722</v>
      </c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2:16" x14ac:dyDescent="0.45">
      <c r="B12" s="1" t="s">
        <v>10</v>
      </c>
      <c r="C12" s="3">
        <v>222</v>
      </c>
      <c r="D12" s="3">
        <v>-11931</v>
      </c>
      <c r="E12" s="3">
        <v>16195</v>
      </c>
      <c r="F12" s="6">
        <f>SUM('Income Statement(q)'!E12:H12)</f>
        <v>8069</v>
      </c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2:16" x14ac:dyDescent="0.45">
      <c r="B13" s="1" t="s">
        <v>11</v>
      </c>
      <c r="C13" s="3">
        <f>C10+C11+C12</f>
        <v>-16140</v>
      </c>
      <c r="D13" s="3">
        <f>D10+D11+D12</f>
        <v>141596</v>
      </c>
      <c r="E13" s="3">
        <f>E10+E11+E12</f>
        <v>416834</v>
      </c>
      <c r="F13" s="6">
        <f>SUM('Income Statement(q)'!E13:H13)</f>
        <v>284481.13</v>
      </c>
      <c r="G13" s="3">
        <f>G10+G11+G12</f>
        <v>283196.64600000007</v>
      </c>
      <c r="H13" s="3">
        <f>H10+H11+H12</f>
        <v>301474.15753284004</v>
      </c>
      <c r="I13" s="3">
        <f t="shared" ref="I13:P13" si="8">I10+I11+I12</f>
        <v>320088.89963173692</v>
      </c>
      <c r="J13" s="3">
        <f t="shared" si="8"/>
        <v>339045.78915685823</v>
      </c>
      <c r="K13" s="3">
        <f t="shared" si="8"/>
        <v>358349.80758251902</v>
      </c>
      <c r="L13" s="3">
        <f t="shared" si="8"/>
        <v>378006.00179777731</v>
      </c>
      <c r="M13" s="3">
        <f t="shared" si="8"/>
        <v>398019.48491658241</v>
      </c>
      <c r="N13" s="3">
        <f t="shared" si="8"/>
        <v>418395.4370975839</v>
      </c>
      <c r="O13" s="3">
        <f t="shared" si="8"/>
        <v>439139.10637371376</v>
      </c>
      <c r="P13" s="3">
        <f t="shared" si="8"/>
        <v>460255.80949165643</v>
      </c>
    </row>
    <row r="14" spans="2:16" x14ac:dyDescent="0.45">
      <c r="B14" s="1" t="s">
        <v>12</v>
      </c>
      <c r="C14" s="3">
        <v>3111</v>
      </c>
      <c r="D14" s="3">
        <v>-28670</v>
      </c>
      <c r="E14" s="3">
        <v>-72280</v>
      </c>
      <c r="F14" s="6">
        <f>SUM('Income Statement(q)'!E14:H14)</f>
        <v>-68690.025999999998</v>
      </c>
      <c r="G14" s="6">
        <f>G13*-0.2</f>
        <v>-56639.329200000015</v>
      </c>
      <c r="H14" s="6">
        <f>H13*-0.2</f>
        <v>-60294.831506568007</v>
      </c>
      <c r="I14" s="6">
        <f t="shared" ref="I14:P14" si="9">I13*-0.2</f>
        <v>-64017.779926347386</v>
      </c>
      <c r="J14" s="6">
        <f t="shared" si="9"/>
        <v>-67809.157831371645</v>
      </c>
      <c r="K14" s="6">
        <f t="shared" si="9"/>
        <v>-71669.961516503812</v>
      </c>
      <c r="L14" s="6">
        <f t="shared" si="9"/>
        <v>-75601.200359555471</v>
      </c>
      <c r="M14" s="6">
        <f t="shared" si="9"/>
        <v>-79603.896983316488</v>
      </c>
      <c r="N14" s="6">
        <f t="shared" si="9"/>
        <v>-83679.087419516785</v>
      </c>
      <c r="O14" s="6">
        <f t="shared" si="9"/>
        <v>-87827.821274742761</v>
      </c>
      <c r="P14" s="6">
        <f t="shared" si="9"/>
        <v>-92051.161898331295</v>
      </c>
    </row>
    <row r="15" spans="2:16" x14ac:dyDescent="0.45">
      <c r="B15" s="1" t="s">
        <v>13</v>
      </c>
      <c r="C15" s="3">
        <v>0</v>
      </c>
      <c r="D15" s="3">
        <v>-234</v>
      </c>
      <c r="E15" s="3">
        <v>209</v>
      </c>
      <c r="F15" s="6">
        <f>SUM('Income Statement(q)'!E15:H15)</f>
        <v>-1373</v>
      </c>
      <c r="G15" s="6"/>
      <c r="H15" s="6"/>
      <c r="I15" s="6"/>
      <c r="J15" s="6"/>
      <c r="K15" s="6"/>
      <c r="L15" s="6"/>
      <c r="M15" s="6"/>
      <c r="N15" s="6"/>
      <c r="O15" s="6"/>
      <c r="P15" s="6"/>
    </row>
    <row r="16" spans="2:16" x14ac:dyDescent="0.45">
      <c r="B16" s="1" t="s">
        <v>14</v>
      </c>
      <c r="C16" s="3">
        <f>C13+C14+C15</f>
        <v>-13029</v>
      </c>
      <c r="D16" s="3">
        <f>D13+D14+D15</f>
        <v>112692</v>
      </c>
      <c r="E16" s="3">
        <f>E13+E14+E15</f>
        <v>344763</v>
      </c>
      <c r="F16" s="6">
        <f>SUM('Income Statement(q)'!E16:H16)</f>
        <v>214418.10399999999</v>
      </c>
      <c r="G16" s="3">
        <f>G13+G14+G15</f>
        <v>226557.31680000006</v>
      </c>
      <c r="H16" s="3">
        <f>H13+H14+H15</f>
        <v>241179.32602627203</v>
      </c>
      <c r="I16" s="3">
        <f t="shared" ref="I16:P16" si="10">I13+I14+I15</f>
        <v>256071.11970538954</v>
      </c>
      <c r="J16" s="3">
        <f t="shared" si="10"/>
        <v>271236.63132548658</v>
      </c>
      <c r="K16" s="3">
        <f t="shared" si="10"/>
        <v>286679.84606601519</v>
      </c>
      <c r="L16" s="3">
        <f t="shared" si="10"/>
        <v>302404.80143822182</v>
      </c>
      <c r="M16" s="3">
        <f t="shared" si="10"/>
        <v>318415.58793326595</v>
      </c>
      <c r="N16" s="3">
        <f t="shared" si="10"/>
        <v>334716.34967806714</v>
      </c>
      <c r="O16" s="3">
        <f t="shared" si="10"/>
        <v>351311.28509897098</v>
      </c>
      <c r="P16" s="3">
        <f t="shared" si="10"/>
        <v>368204.64759332512</v>
      </c>
    </row>
    <row r="17" spans="2:199" x14ac:dyDescent="0.45">
      <c r="B17" s="1" t="s">
        <v>15</v>
      </c>
      <c r="C17" s="3">
        <v>-7841</v>
      </c>
      <c r="D17" s="3">
        <v>-38548</v>
      </c>
      <c r="E17" s="3">
        <v>-148116</v>
      </c>
      <c r="F17" s="6">
        <f>SUM('Income Statement(q)'!E17:H17)</f>
        <v>-4939</v>
      </c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2:199" x14ac:dyDescent="0.45">
      <c r="B18" s="1" t="s">
        <v>16</v>
      </c>
      <c r="C18" s="3">
        <f>C16+C17</f>
        <v>-20870</v>
      </c>
      <c r="D18" s="3">
        <f>D16+D17</f>
        <v>74144</v>
      </c>
      <c r="E18" s="3">
        <f>E16+E17</f>
        <v>196647</v>
      </c>
      <c r="F18" s="6">
        <f>SUM('Income Statement(q)'!E18:H18)</f>
        <v>209479.10399999999</v>
      </c>
      <c r="G18" s="3">
        <f>G16+G17</f>
        <v>226557.31680000006</v>
      </c>
      <c r="H18" s="3">
        <f>H16+H17</f>
        <v>241179.32602627203</v>
      </c>
      <c r="I18" s="3">
        <f t="shared" ref="I18:P18" si="11">I16+I17</f>
        <v>256071.11970538954</v>
      </c>
      <c r="J18" s="3">
        <f t="shared" si="11"/>
        <v>271236.63132548658</v>
      </c>
      <c r="K18" s="3">
        <f t="shared" si="11"/>
        <v>286679.84606601519</v>
      </c>
      <c r="L18" s="3">
        <f t="shared" si="11"/>
        <v>302404.80143822182</v>
      </c>
      <c r="M18" s="3">
        <f t="shared" si="11"/>
        <v>318415.58793326595</v>
      </c>
      <c r="N18" s="3">
        <f t="shared" si="11"/>
        <v>334716.34967806714</v>
      </c>
      <c r="O18" s="3">
        <f t="shared" si="11"/>
        <v>351311.28509897098</v>
      </c>
      <c r="P18" s="3">
        <f t="shared" si="11"/>
        <v>368204.64759332512</v>
      </c>
      <c r="Q18" s="3">
        <f>P18*(1+$S$22)</f>
        <v>371886.6940692584</v>
      </c>
      <c r="R18" s="3">
        <f t="shared" ref="R18:CC18" si="12">Q18*(1+$S$22)</f>
        <v>375605.56100995099</v>
      </c>
      <c r="S18" s="3">
        <f t="shared" si="12"/>
        <v>379361.61662005051</v>
      </c>
      <c r="T18" s="3">
        <f t="shared" si="12"/>
        <v>383155.232786251</v>
      </c>
      <c r="U18" s="3">
        <f t="shared" si="12"/>
        <v>386986.78511411353</v>
      </c>
      <c r="V18" s="3">
        <f t="shared" si="12"/>
        <v>390856.65296525467</v>
      </c>
      <c r="W18" s="3">
        <f t="shared" si="12"/>
        <v>394765.21949490724</v>
      </c>
      <c r="X18" s="3">
        <f t="shared" si="12"/>
        <v>398712.87168985634</v>
      </c>
      <c r="Y18" s="3">
        <f t="shared" si="12"/>
        <v>402700.0004067549</v>
      </c>
      <c r="Z18" s="3">
        <f t="shared" si="12"/>
        <v>406727.00041082245</v>
      </c>
      <c r="AA18" s="3">
        <f t="shared" si="12"/>
        <v>410794.27041493071</v>
      </c>
      <c r="AB18" s="3">
        <f t="shared" si="12"/>
        <v>414902.21311908</v>
      </c>
      <c r="AC18" s="3">
        <f t="shared" si="12"/>
        <v>419051.23525027081</v>
      </c>
      <c r="AD18" s="3">
        <f t="shared" si="12"/>
        <v>423241.74760277354</v>
      </c>
      <c r="AE18" s="3">
        <f t="shared" si="12"/>
        <v>427474.16507880128</v>
      </c>
      <c r="AF18" s="3">
        <f t="shared" si="12"/>
        <v>431748.90672958927</v>
      </c>
      <c r="AG18" s="3">
        <f t="shared" si="12"/>
        <v>436066.39579688519</v>
      </c>
      <c r="AH18" s="3">
        <f t="shared" si="12"/>
        <v>440427.05975485407</v>
      </c>
      <c r="AI18" s="3">
        <f t="shared" si="12"/>
        <v>444831.33035240264</v>
      </c>
      <c r="AJ18" s="3">
        <f t="shared" si="12"/>
        <v>449279.64365592669</v>
      </c>
      <c r="AK18" s="3">
        <f t="shared" si="12"/>
        <v>453772.44009248598</v>
      </c>
      <c r="AL18" s="3">
        <f t="shared" si="12"/>
        <v>458310.16449341085</v>
      </c>
      <c r="AM18" s="3">
        <f t="shared" si="12"/>
        <v>462893.26613834494</v>
      </c>
      <c r="AN18" s="3">
        <f t="shared" si="12"/>
        <v>467522.19879972842</v>
      </c>
      <c r="AO18" s="3">
        <f t="shared" si="12"/>
        <v>472197.42078772571</v>
      </c>
      <c r="AP18" s="3">
        <f t="shared" si="12"/>
        <v>476919.39499560295</v>
      </c>
      <c r="AQ18" s="3">
        <f t="shared" si="12"/>
        <v>481688.58894555899</v>
      </c>
      <c r="AR18" s="3">
        <f t="shared" si="12"/>
        <v>486505.47483501461</v>
      </c>
      <c r="AS18" s="3">
        <f t="shared" si="12"/>
        <v>491370.52958336478</v>
      </c>
      <c r="AT18" s="3">
        <f t="shared" si="12"/>
        <v>496284.23487919843</v>
      </c>
      <c r="AU18" s="3">
        <f t="shared" si="12"/>
        <v>501247.07722799043</v>
      </c>
      <c r="AV18" s="3">
        <f t="shared" si="12"/>
        <v>506259.54800027033</v>
      </c>
      <c r="AW18" s="3">
        <f t="shared" si="12"/>
        <v>511322.14348027302</v>
      </c>
      <c r="AX18" s="3">
        <f t="shared" si="12"/>
        <v>516435.36491507577</v>
      </c>
      <c r="AY18" s="3">
        <f t="shared" si="12"/>
        <v>521599.71856422652</v>
      </c>
      <c r="AZ18" s="3">
        <f t="shared" si="12"/>
        <v>526815.71574986877</v>
      </c>
      <c r="BA18" s="3">
        <f t="shared" si="12"/>
        <v>532083.87290736742</v>
      </c>
      <c r="BB18" s="3">
        <f t="shared" si="12"/>
        <v>537404.71163644106</v>
      </c>
      <c r="BC18" s="3">
        <f t="shared" si="12"/>
        <v>542778.75875280553</v>
      </c>
      <c r="BD18" s="3">
        <f t="shared" si="12"/>
        <v>548206.54634033365</v>
      </c>
      <c r="BE18" s="3">
        <f t="shared" si="12"/>
        <v>553688.611803737</v>
      </c>
      <c r="BF18" s="3">
        <f t="shared" si="12"/>
        <v>559225.4979217744</v>
      </c>
      <c r="BG18" s="3">
        <f t="shared" si="12"/>
        <v>564817.75290099217</v>
      </c>
      <c r="BH18" s="3">
        <f t="shared" si="12"/>
        <v>570465.93043000204</v>
      </c>
      <c r="BI18" s="3">
        <f t="shared" si="12"/>
        <v>576170.58973430202</v>
      </c>
      <c r="BJ18" s="3">
        <f t="shared" si="12"/>
        <v>581932.29563164501</v>
      </c>
      <c r="BK18" s="3">
        <f t="shared" si="12"/>
        <v>587751.61858796142</v>
      </c>
      <c r="BL18" s="3">
        <f t="shared" si="12"/>
        <v>593629.13477384101</v>
      </c>
      <c r="BM18" s="3">
        <f t="shared" si="12"/>
        <v>599565.42612157948</v>
      </c>
      <c r="BN18" s="3">
        <f t="shared" si="12"/>
        <v>605561.08038279531</v>
      </c>
      <c r="BO18" s="3">
        <f t="shared" si="12"/>
        <v>611616.6911866233</v>
      </c>
      <c r="BP18" s="3">
        <f t="shared" si="12"/>
        <v>617732.85809848958</v>
      </c>
      <c r="BQ18" s="3">
        <f t="shared" si="12"/>
        <v>623910.18667947443</v>
      </c>
      <c r="BR18" s="3">
        <f t="shared" si="12"/>
        <v>630149.28854626918</v>
      </c>
      <c r="BS18" s="3">
        <f t="shared" si="12"/>
        <v>636450.78143173188</v>
      </c>
      <c r="BT18" s="3">
        <f t="shared" si="12"/>
        <v>642815.28924604924</v>
      </c>
      <c r="BU18" s="3">
        <f t="shared" si="12"/>
        <v>649243.44213850971</v>
      </c>
      <c r="BV18" s="3">
        <f t="shared" si="12"/>
        <v>655735.87655989476</v>
      </c>
      <c r="BW18" s="3">
        <f t="shared" si="12"/>
        <v>662293.23532549373</v>
      </c>
      <c r="BX18" s="3">
        <f t="shared" si="12"/>
        <v>668916.16767874872</v>
      </c>
      <c r="BY18" s="3">
        <f t="shared" si="12"/>
        <v>675605.32935553626</v>
      </c>
      <c r="BZ18" s="3">
        <f t="shared" si="12"/>
        <v>682361.38264909165</v>
      </c>
      <c r="CA18" s="3">
        <f t="shared" si="12"/>
        <v>689184.99647558259</v>
      </c>
      <c r="CB18" s="3">
        <f t="shared" si="12"/>
        <v>696076.84644033841</v>
      </c>
      <c r="CC18" s="3">
        <f t="shared" si="12"/>
        <v>703037.61490474176</v>
      </c>
      <c r="CD18" s="3">
        <f t="shared" ref="CD18:EO18" si="13">CC18*(1+$S$22)</f>
        <v>710067.99105378916</v>
      </c>
      <c r="CE18" s="3">
        <f t="shared" si="13"/>
        <v>717168.67096432706</v>
      </c>
      <c r="CF18" s="3">
        <f t="shared" si="13"/>
        <v>724340.35767397028</v>
      </c>
      <c r="CG18" s="3">
        <f t="shared" si="13"/>
        <v>731583.76125071</v>
      </c>
      <c r="CH18" s="3">
        <f t="shared" si="13"/>
        <v>738899.59886321705</v>
      </c>
      <c r="CI18" s="3">
        <f t="shared" si="13"/>
        <v>746288.59485184925</v>
      </c>
      <c r="CJ18" s="3">
        <f t="shared" si="13"/>
        <v>753751.48080036778</v>
      </c>
      <c r="CK18" s="3">
        <f t="shared" si="13"/>
        <v>761288.99560837145</v>
      </c>
      <c r="CL18" s="3">
        <f t="shared" si="13"/>
        <v>768901.88556445518</v>
      </c>
      <c r="CM18" s="3">
        <f t="shared" si="13"/>
        <v>776590.90442009969</v>
      </c>
      <c r="CN18" s="3">
        <f t="shared" si="13"/>
        <v>784356.81346430071</v>
      </c>
      <c r="CO18" s="3">
        <f t="shared" si="13"/>
        <v>792200.38159894373</v>
      </c>
      <c r="CP18" s="3">
        <f t="shared" si="13"/>
        <v>800122.3854149332</v>
      </c>
      <c r="CQ18" s="3">
        <f t="shared" si="13"/>
        <v>808123.60926908255</v>
      </c>
      <c r="CR18" s="3">
        <f t="shared" si="13"/>
        <v>816204.84536177339</v>
      </c>
      <c r="CS18" s="3">
        <f t="shared" si="13"/>
        <v>824366.89381539111</v>
      </c>
      <c r="CT18" s="3">
        <f t="shared" si="13"/>
        <v>832610.562753545</v>
      </c>
      <c r="CU18" s="3">
        <f t="shared" si="13"/>
        <v>840936.6683810805</v>
      </c>
      <c r="CV18" s="3">
        <f t="shared" si="13"/>
        <v>849346.03506489133</v>
      </c>
      <c r="CW18" s="3">
        <f t="shared" si="13"/>
        <v>857839.4954155403</v>
      </c>
      <c r="CX18" s="3">
        <f t="shared" si="13"/>
        <v>866417.89036969573</v>
      </c>
      <c r="CY18" s="3">
        <f t="shared" si="13"/>
        <v>875082.06927339267</v>
      </c>
      <c r="CZ18" s="3">
        <f t="shared" si="13"/>
        <v>883832.88996612665</v>
      </c>
      <c r="DA18" s="3">
        <f t="shared" si="13"/>
        <v>892671.21886578796</v>
      </c>
      <c r="DB18" s="3">
        <f t="shared" si="13"/>
        <v>901597.9310544458</v>
      </c>
      <c r="DC18" s="3">
        <f t="shared" si="13"/>
        <v>910613.91036499024</v>
      </c>
      <c r="DD18" s="3">
        <f t="shared" si="13"/>
        <v>919720.04946864012</v>
      </c>
      <c r="DE18" s="3">
        <f t="shared" si="13"/>
        <v>928917.2499633265</v>
      </c>
      <c r="DF18" s="3">
        <f t="shared" si="13"/>
        <v>938206.42246295977</v>
      </c>
      <c r="DG18" s="3">
        <f t="shared" si="13"/>
        <v>947588.48668758944</v>
      </c>
      <c r="DH18" s="3">
        <f t="shared" si="13"/>
        <v>957064.37155446538</v>
      </c>
      <c r="DI18" s="3">
        <f t="shared" si="13"/>
        <v>966635.0152700101</v>
      </c>
      <c r="DJ18" s="3">
        <f t="shared" si="13"/>
        <v>976301.36542271019</v>
      </c>
      <c r="DK18" s="3">
        <f t="shared" si="13"/>
        <v>986064.37907693733</v>
      </c>
      <c r="DL18" s="3">
        <f t="shared" si="13"/>
        <v>995925.02286770672</v>
      </c>
      <c r="DM18" s="3">
        <f t="shared" si="13"/>
        <v>1005884.2730963838</v>
      </c>
      <c r="DN18" s="3">
        <f t="shared" si="13"/>
        <v>1015943.1158273476</v>
      </c>
      <c r="DO18" s="3">
        <f t="shared" si="13"/>
        <v>1026102.5469856211</v>
      </c>
      <c r="DP18" s="3">
        <f t="shared" si="13"/>
        <v>1036363.5724554773</v>
      </c>
      <c r="DQ18" s="3">
        <f t="shared" si="13"/>
        <v>1046727.2081800321</v>
      </c>
      <c r="DR18" s="3">
        <f t="shared" si="13"/>
        <v>1057194.4802618325</v>
      </c>
      <c r="DS18" s="3">
        <f t="shared" si="13"/>
        <v>1067766.4250644508</v>
      </c>
      <c r="DT18" s="3">
        <f t="shared" si="13"/>
        <v>1078444.0893150955</v>
      </c>
      <c r="DU18" s="3">
        <f t="shared" si="13"/>
        <v>1089228.5302082463</v>
      </c>
      <c r="DV18" s="3">
        <f t="shared" si="13"/>
        <v>1100120.8155103289</v>
      </c>
      <c r="DW18" s="3">
        <f t="shared" si="13"/>
        <v>1111122.0236654321</v>
      </c>
      <c r="DX18" s="3">
        <f t="shared" si="13"/>
        <v>1122233.2439020865</v>
      </c>
      <c r="DY18" s="3">
        <f t="shared" si="13"/>
        <v>1133455.5763411075</v>
      </c>
      <c r="DZ18" s="3">
        <f t="shared" si="13"/>
        <v>1144790.1321045186</v>
      </c>
      <c r="EA18" s="3">
        <f t="shared" si="13"/>
        <v>1156238.0334255637</v>
      </c>
      <c r="EB18" s="3">
        <f t="shared" si="13"/>
        <v>1167800.4137598195</v>
      </c>
      <c r="EC18" s="3">
        <f t="shared" si="13"/>
        <v>1179478.4178974177</v>
      </c>
      <c r="ED18" s="3">
        <f t="shared" si="13"/>
        <v>1191273.2020763918</v>
      </c>
      <c r="EE18" s="3">
        <f t="shared" si="13"/>
        <v>1203185.9340971557</v>
      </c>
      <c r="EF18" s="3">
        <f t="shared" si="13"/>
        <v>1215217.7934381273</v>
      </c>
      <c r="EG18" s="3">
        <f t="shared" si="13"/>
        <v>1227369.9713725084</v>
      </c>
      <c r="EH18" s="3">
        <f t="shared" si="13"/>
        <v>1239643.6710862336</v>
      </c>
      <c r="EI18" s="3">
        <f t="shared" si="13"/>
        <v>1252040.107797096</v>
      </c>
      <c r="EJ18" s="3">
        <f t="shared" si="13"/>
        <v>1264560.5088750669</v>
      </c>
      <c r="EK18" s="3">
        <f t="shared" si="13"/>
        <v>1277206.1139638175</v>
      </c>
      <c r="EL18" s="3">
        <f t="shared" si="13"/>
        <v>1289978.1751034555</v>
      </c>
      <c r="EM18" s="3">
        <f t="shared" si="13"/>
        <v>1302877.9568544901</v>
      </c>
      <c r="EN18" s="3">
        <f t="shared" si="13"/>
        <v>1315906.7364230349</v>
      </c>
      <c r="EO18" s="3">
        <f t="shared" si="13"/>
        <v>1329065.8037872652</v>
      </c>
      <c r="EP18" s="3">
        <f t="shared" ref="EP18:GQ18" si="14">EO18*(1+$S$22)</f>
        <v>1342356.461825138</v>
      </c>
      <c r="EQ18" s="3">
        <f t="shared" si="14"/>
        <v>1355780.0264433892</v>
      </c>
      <c r="ER18" s="3">
        <f t="shared" si="14"/>
        <v>1369337.8267078232</v>
      </c>
      <c r="ES18" s="3">
        <f t="shared" si="14"/>
        <v>1383031.2049749014</v>
      </c>
      <c r="ET18" s="3">
        <f t="shared" si="14"/>
        <v>1396861.5170246505</v>
      </c>
      <c r="EU18" s="3">
        <f t="shared" si="14"/>
        <v>1410830.1321948969</v>
      </c>
      <c r="EV18" s="3">
        <f t="shared" si="14"/>
        <v>1424938.4335168458</v>
      </c>
      <c r="EW18" s="3">
        <f t="shared" si="14"/>
        <v>1439187.8178520142</v>
      </c>
      <c r="EX18" s="3">
        <f t="shared" si="14"/>
        <v>1453579.6960305343</v>
      </c>
      <c r="EY18" s="3">
        <f t="shared" si="14"/>
        <v>1468115.4929908398</v>
      </c>
      <c r="EZ18" s="3">
        <f t="shared" si="14"/>
        <v>1482796.6479207482</v>
      </c>
      <c r="FA18" s="3">
        <f t="shared" si="14"/>
        <v>1497624.6143999556</v>
      </c>
      <c r="FB18" s="3">
        <f t="shared" si="14"/>
        <v>1512600.8605439551</v>
      </c>
      <c r="FC18" s="3">
        <f t="shared" si="14"/>
        <v>1527726.8691493946</v>
      </c>
      <c r="FD18" s="3">
        <f t="shared" si="14"/>
        <v>1543004.1378408885</v>
      </c>
      <c r="FE18" s="3">
        <f t="shared" si="14"/>
        <v>1558434.1792192974</v>
      </c>
      <c r="FF18" s="3">
        <f t="shared" si="14"/>
        <v>1574018.5210114904</v>
      </c>
      <c r="FG18" s="3">
        <f t="shared" si="14"/>
        <v>1589758.7062216052</v>
      </c>
      <c r="FH18" s="3">
        <f t="shared" si="14"/>
        <v>1605656.2932838213</v>
      </c>
      <c r="FI18" s="3">
        <f t="shared" si="14"/>
        <v>1621712.8562166595</v>
      </c>
      <c r="FJ18" s="3">
        <f t="shared" si="14"/>
        <v>1637929.9847788261</v>
      </c>
      <c r="FK18" s="3">
        <f t="shared" si="14"/>
        <v>1654309.2846266143</v>
      </c>
      <c r="FL18" s="3">
        <f t="shared" si="14"/>
        <v>1670852.3774728805</v>
      </c>
      <c r="FM18" s="3">
        <f t="shared" si="14"/>
        <v>1687560.9012476094</v>
      </c>
      <c r="FN18" s="3">
        <f t="shared" si="14"/>
        <v>1704436.5102600856</v>
      </c>
      <c r="FO18" s="3">
        <f t="shared" si="14"/>
        <v>1721480.8753626863</v>
      </c>
      <c r="FP18" s="3">
        <f t="shared" si="14"/>
        <v>1738695.6841163132</v>
      </c>
      <c r="FQ18" s="3">
        <f t="shared" si="14"/>
        <v>1756082.6409574763</v>
      </c>
      <c r="FR18" s="3">
        <f t="shared" si="14"/>
        <v>1773643.4673670512</v>
      </c>
      <c r="FS18" s="3">
        <f t="shared" si="14"/>
        <v>1791379.9020407216</v>
      </c>
      <c r="FT18" s="3">
        <f t="shared" si="14"/>
        <v>1809293.7010611289</v>
      </c>
      <c r="FU18" s="3">
        <f t="shared" si="14"/>
        <v>1827386.6380717403</v>
      </c>
      <c r="FV18" s="3">
        <f t="shared" si="14"/>
        <v>1845660.5044524577</v>
      </c>
      <c r="FW18" s="3">
        <f t="shared" si="14"/>
        <v>1864117.1094969823</v>
      </c>
      <c r="FX18" s="3">
        <f t="shared" si="14"/>
        <v>1882758.2805919521</v>
      </c>
      <c r="FY18" s="3">
        <f t="shared" si="14"/>
        <v>1901585.8633978716</v>
      </c>
      <c r="FZ18" s="3">
        <f t="shared" si="14"/>
        <v>1920601.7220318504</v>
      </c>
      <c r="GA18" s="3">
        <f t="shared" si="14"/>
        <v>1939807.7392521689</v>
      </c>
      <c r="GB18" s="3">
        <f t="shared" si="14"/>
        <v>1959205.8166446907</v>
      </c>
      <c r="GC18" s="3">
        <f t="shared" si="14"/>
        <v>1978797.8748111376</v>
      </c>
      <c r="GD18" s="3">
        <f t="shared" si="14"/>
        <v>1998585.8535592488</v>
      </c>
      <c r="GE18" s="3">
        <f t="shared" si="14"/>
        <v>2018571.7120948413</v>
      </c>
      <c r="GF18" s="3">
        <f t="shared" si="14"/>
        <v>2038757.4292157898</v>
      </c>
      <c r="GG18" s="3">
        <f t="shared" si="14"/>
        <v>2059145.0035079478</v>
      </c>
      <c r="GH18" s="3">
        <f t="shared" si="14"/>
        <v>2079736.4535430272</v>
      </c>
      <c r="GI18" s="3">
        <f t="shared" si="14"/>
        <v>2100533.8180784574</v>
      </c>
      <c r="GJ18" s="3">
        <f t="shared" si="14"/>
        <v>2121539.156259242</v>
      </c>
      <c r="GK18" s="3">
        <f t="shared" si="14"/>
        <v>2142754.5478218342</v>
      </c>
      <c r="GL18" s="3">
        <f t="shared" si="14"/>
        <v>2164182.0933000525</v>
      </c>
      <c r="GM18" s="3">
        <f t="shared" si="14"/>
        <v>2185823.9142330531</v>
      </c>
      <c r="GN18" s="3">
        <f t="shared" si="14"/>
        <v>2207682.1533753835</v>
      </c>
      <c r="GO18" s="3">
        <f t="shared" si="14"/>
        <v>2229758.9749091375</v>
      </c>
      <c r="GP18" s="3">
        <f t="shared" si="14"/>
        <v>2252056.5646582288</v>
      </c>
      <c r="GQ18" s="3">
        <f t="shared" si="14"/>
        <v>2274577.1303048111</v>
      </c>
    </row>
    <row r="19" spans="2:199" x14ac:dyDescent="0.45">
      <c r="B19" s="1" t="s">
        <v>17</v>
      </c>
      <c r="C19" s="3">
        <v>183550</v>
      </c>
      <c r="D19" s="3">
        <v>183550</v>
      </c>
      <c r="E19" s="3">
        <v>183550</v>
      </c>
      <c r="F19" s="3">
        <f>'Income Statement(q)'!G19</f>
        <v>194154</v>
      </c>
    </row>
    <row r="20" spans="2:199" x14ac:dyDescent="0.45">
      <c r="B20" s="1"/>
      <c r="C20" s="3"/>
      <c r="D20" s="3"/>
      <c r="E20" s="3"/>
    </row>
    <row r="21" spans="2:199" x14ac:dyDescent="0.45">
      <c r="B21" s="1"/>
      <c r="C21" s="3"/>
      <c r="D21" s="3"/>
      <c r="E21" s="3"/>
    </row>
    <row r="22" spans="2:199" x14ac:dyDescent="0.45">
      <c r="B22" s="1" t="s">
        <v>18</v>
      </c>
      <c r="C22" s="5">
        <v>0</v>
      </c>
      <c r="D22" s="5">
        <f>IFERROR((D3-C3)/C3,0)</f>
        <v>8.2468558803535004</v>
      </c>
      <c r="E22" s="5">
        <f>IFERROR((E3-D3)/D3,0)</f>
        <v>1.6035101745744385</v>
      </c>
      <c r="F22" s="5">
        <f>IFERROR((F3-E3)/E3,0)</f>
        <v>7.8331628267886866E-2</v>
      </c>
      <c r="G22" s="5">
        <f>IFERROR((G3-F3)/F3,0)</f>
        <v>3.0000000000000072E-2</v>
      </c>
      <c r="H22" s="5">
        <f>IFERROR((H3-G3)/G3,0)</f>
        <v>1.0000000000000047E-2</v>
      </c>
      <c r="I22" s="5">
        <f t="shared" ref="I22:P22" si="15">IFERROR((I3-H3)/H3,0)</f>
        <v>1.0000000000000056E-2</v>
      </c>
      <c r="J22" s="5">
        <f t="shared" si="15"/>
        <v>1.0000000000000018E-2</v>
      </c>
      <c r="K22" s="5">
        <f t="shared" si="15"/>
        <v>1.0000000000000031E-2</v>
      </c>
      <c r="L22" s="5">
        <f t="shared" si="15"/>
        <v>1.0000000000000047E-2</v>
      </c>
      <c r="M22" s="5">
        <f t="shared" si="15"/>
        <v>1.0000000000000011E-2</v>
      </c>
      <c r="N22" s="5">
        <f t="shared" si="15"/>
        <v>1.0000000000000002E-2</v>
      </c>
      <c r="O22" s="5">
        <f t="shared" si="15"/>
        <v>1.0000000000000011E-2</v>
      </c>
      <c r="P22" s="5">
        <f t="shared" si="15"/>
        <v>1.0000000000000007E-2</v>
      </c>
      <c r="R22" t="s">
        <v>95</v>
      </c>
      <c r="S22" s="7">
        <v>0.01</v>
      </c>
    </row>
    <row r="23" spans="2:199" x14ac:dyDescent="0.45">
      <c r="B23" s="1" t="s">
        <v>19</v>
      </c>
      <c r="C23" s="5">
        <f>C5/C3</f>
        <v>0.2706492182188987</v>
      </c>
      <c r="D23" s="5">
        <f>D5/D3</f>
        <v>0.42488459217462959</v>
      </c>
      <c r="E23" s="5">
        <f>E5/E3</f>
        <v>0.45798097111664238</v>
      </c>
      <c r="F23" s="5">
        <f>F5/F3</f>
        <v>0.46950549048875384</v>
      </c>
      <c r="G23" s="5">
        <f>G5/G3</f>
        <v>0.45</v>
      </c>
      <c r="H23" s="5">
        <f>H5/H3</f>
        <v>0.4501</v>
      </c>
      <c r="I23" s="5">
        <f t="shared" ref="I23:P23" si="16">I5/I3</f>
        <v>0.45019999999999999</v>
      </c>
      <c r="J23" s="5">
        <f t="shared" si="16"/>
        <v>0.45029999999999998</v>
      </c>
      <c r="K23" s="5">
        <f t="shared" si="16"/>
        <v>0.45039999999999997</v>
      </c>
      <c r="L23" s="5">
        <f t="shared" si="16"/>
        <v>0.45049999999999996</v>
      </c>
      <c r="M23" s="5">
        <f t="shared" si="16"/>
        <v>0.45059999999999995</v>
      </c>
      <c r="N23" s="5">
        <f t="shared" si="16"/>
        <v>0.45069999999999993</v>
      </c>
      <c r="O23" s="5">
        <f t="shared" si="16"/>
        <v>0.45079999999999992</v>
      </c>
      <c r="P23" s="5">
        <f t="shared" si="16"/>
        <v>0.45089999999999991</v>
      </c>
      <c r="R23" t="s">
        <v>96</v>
      </c>
      <c r="S23" s="7">
        <v>0.09</v>
      </c>
    </row>
    <row r="24" spans="2:199" x14ac:dyDescent="0.45">
      <c r="B24" s="1" t="s">
        <v>20</v>
      </c>
      <c r="C24" s="5">
        <f>C10/C3</f>
        <v>-0.23562485837298891</v>
      </c>
      <c r="D24" s="5">
        <f>D10/D3</f>
        <v>0.23147884368557609</v>
      </c>
      <c r="E24" s="5">
        <f>E10/E3</f>
        <v>0.23268525158588735</v>
      </c>
      <c r="F24" s="5">
        <f>F10/F3</f>
        <v>0.1427669630133967</v>
      </c>
      <c r="G24" s="5">
        <f>G10/G3</f>
        <v>0.15000000000000002</v>
      </c>
      <c r="H24" s="5">
        <f>H10/H3</f>
        <v>0.15809999999999999</v>
      </c>
      <c r="I24" s="5">
        <f t="shared" ref="I24:P24" si="17">I10/I3</f>
        <v>0.16620000000000004</v>
      </c>
      <c r="J24" s="5">
        <f t="shared" si="17"/>
        <v>0.17429999999999995</v>
      </c>
      <c r="K24" s="5">
        <f t="shared" si="17"/>
        <v>0.18239999999999998</v>
      </c>
      <c r="L24" s="5">
        <f t="shared" si="17"/>
        <v>0.1905</v>
      </c>
      <c r="M24" s="5">
        <f t="shared" si="17"/>
        <v>0.19859999999999997</v>
      </c>
      <c r="N24" s="5">
        <f t="shared" si="17"/>
        <v>0.20669999999999999</v>
      </c>
      <c r="O24" s="5">
        <f t="shared" si="17"/>
        <v>0.21479999999999999</v>
      </c>
      <c r="P24" s="5">
        <f t="shared" si="17"/>
        <v>0.22289999999999999</v>
      </c>
      <c r="R24" t="s">
        <v>97</v>
      </c>
      <c r="S24" s="6">
        <f>NPV(S23,G18:GQ18)+Main!J6-Main!J7</f>
        <v>4930139.0926986421</v>
      </c>
    </row>
    <row r="25" spans="2:199" x14ac:dyDescent="0.45">
      <c r="B25" s="1" t="s">
        <v>21</v>
      </c>
      <c r="C25" s="5">
        <f>C18/C3</f>
        <v>-0.29557557217312486</v>
      </c>
      <c r="D25" s="5">
        <f>D18/D3</f>
        <v>0.11356068751512478</v>
      </c>
      <c r="E25" s="5">
        <f>E18/E3</f>
        <v>0.1156857981088775</v>
      </c>
      <c r="F25" s="5">
        <f>F18/F3</f>
        <v>0.11428285618891122</v>
      </c>
      <c r="G25" s="5">
        <f>G18/G3</f>
        <v>0.12000000000000002</v>
      </c>
      <c r="H25" s="5">
        <f>H18/H3</f>
        <v>0.12648000000000001</v>
      </c>
      <c r="I25" s="5">
        <f t="shared" ref="I25:P25" si="18">I18/I3</f>
        <v>0.13296000000000002</v>
      </c>
      <c r="J25" s="5">
        <f t="shared" si="18"/>
        <v>0.13943999999999995</v>
      </c>
      <c r="K25" s="5">
        <f t="shared" si="18"/>
        <v>0.14591999999999997</v>
      </c>
      <c r="L25" s="5">
        <f t="shared" si="18"/>
        <v>0.15240000000000001</v>
      </c>
      <c r="M25" s="5">
        <f t="shared" si="18"/>
        <v>0.15887999999999999</v>
      </c>
      <c r="N25" s="5">
        <f t="shared" si="18"/>
        <v>0.16536000000000001</v>
      </c>
      <c r="O25" s="5">
        <f t="shared" si="18"/>
        <v>0.17183999999999996</v>
      </c>
      <c r="P25" s="5">
        <f t="shared" si="18"/>
        <v>0.17831999999999998</v>
      </c>
      <c r="R25" t="s">
        <v>89</v>
      </c>
      <c r="S25" s="9">
        <f>S24/Main!J4</f>
        <v>26.541440327718334</v>
      </c>
    </row>
    <row r="26" spans="2:199" x14ac:dyDescent="0.45">
      <c r="R26" t="s">
        <v>98</v>
      </c>
      <c r="S26" s="7">
        <f>S25/Main!J3-1</f>
        <v>1.5743395080231166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25"/>
  <sheetViews>
    <sheetView tabSelected="1" workbookViewId="0">
      <selection activeCell="H6" sqref="H6"/>
    </sheetView>
  </sheetViews>
  <sheetFormatPr defaultRowHeight="14.25" x14ac:dyDescent="0.45"/>
  <cols>
    <col min="2" max="2" width="20.73046875" customWidth="1"/>
  </cols>
  <sheetData>
    <row r="1" spans="2:8" x14ac:dyDescent="0.45">
      <c r="C1" s="7"/>
      <c r="D1" s="7"/>
      <c r="E1" s="7"/>
      <c r="F1" s="7"/>
      <c r="G1" s="7"/>
      <c r="H1" s="7"/>
    </row>
    <row r="2" spans="2:8" x14ac:dyDescent="0.45">
      <c r="C2" s="4" t="s">
        <v>22</v>
      </c>
      <c r="D2" s="4" t="s">
        <v>23</v>
      </c>
      <c r="E2" s="4" t="s">
        <v>24</v>
      </c>
      <c r="F2" s="4" t="s">
        <v>25</v>
      </c>
      <c r="G2" s="4" t="s">
        <v>26</v>
      </c>
      <c r="H2" s="4" t="s">
        <v>94</v>
      </c>
    </row>
    <row r="3" spans="2:8" x14ac:dyDescent="0.45">
      <c r="B3" s="1" t="s">
        <v>1</v>
      </c>
      <c r="C3" s="3">
        <v>505149</v>
      </c>
      <c r="D3" s="3">
        <v>456890</v>
      </c>
      <c r="E3" s="3">
        <v>467135</v>
      </c>
      <c r="F3" s="3">
        <v>464561</v>
      </c>
      <c r="G3" s="3">
        <v>450646</v>
      </c>
      <c r="H3" s="6">
        <f>G3</f>
        <v>450646</v>
      </c>
    </row>
    <row r="4" spans="2:8" x14ac:dyDescent="0.45">
      <c r="B4" s="1" t="s">
        <v>2</v>
      </c>
      <c r="C4" s="3">
        <v>-271701</v>
      </c>
      <c r="D4" s="3">
        <v>-243569</v>
      </c>
      <c r="E4" s="3">
        <v>-240586</v>
      </c>
      <c r="F4" s="3">
        <v>-239946</v>
      </c>
      <c r="G4" s="3">
        <v>-246256</v>
      </c>
      <c r="H4" s="6">
        <f>H5-H3</f>
        <v>-245602.07</v>
      </c>
    </row>
    <row r="5" spans="2:8" x14ac:dyDescent="0.45">
      <c r="B5" s="1" t="s">
        <v>3</v>
      </c>
      <c r="C5" s="3">
        <f>C3+C4</f>
        <v>233448</v>
      </c>
      <c r="D5" s="3">
        <f>D3+D4</f>
        <v>213321</v>
      </c>
      <c r="E5" s="3">
        <f>E3+E4</f>
        <v>226549</v>
      </c>
      <c r="F5" s="3">
        <f>F3+F4</f>
        <v>224615</v>
      </c>
      <c r="G5" s="3">
        <f>G3+G4</f>
        <v>204390</v>
      </c>
      <c r="H5" s="3">
        <f>H3*0.455</f>
        <v>205043.93</v>
      </c>
    </row>
    <row r="6" spans="2:8" x14ac:dyDescent="0.45">
      <c r="B6" s="1" t="s">
        <v>4</v>
      </c>
      <c r="C6" s="3">
        <v>-96371</v>
      </c>
      <c r="D6" s="3">
        <v>-100296</v>
      </c>
      <c r="E6" s="3">
        <v>-89793</v>
      </c>
      <c r="F6" s="3">
        <v>-185389</v>
      </c>
      <c r="G6" s="3">
        <v>-115441</v>
      </c>
      <c r="H6" s="6">
        <f>H3*-0.25</f>
        <v>-112661.5</v>
      </c>
    </row>
    <row r="7" spans="2:8" x14ac:dyDescent="0.45">
      <c r="B7" s="1" t="s">
        <v>5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/>
    </row>
    <row r="8" spans="2:8" x14ac:dyDescent="0.45">
      <c r="B8" s="1" t="s">
        <v>6</v>
      </c>
      <c r="C8" s="3">
        <v>-23779</v>
      </c>
      <c r="D8" s="3">
        <v>-24991</v>
      </c>
      <c r="E8" s="3">
        <v>-23745</v>
      </c>
      <c r="F8" s="3">
        <v>-24222</v>
      </c>
      <c r="G8" s="3">
        <v>-25124</v>
      </c>
      <c r="H8" s="6">
        <f>H3*-0.05</f>
        <v>-22532.300000000003</v>
      </c>
    </row>
    <row r="9" spans="2:8" x14ac:dyDescent="0.45">
      <c r="B9" s="1" t="s">
        <v>7</v>
      </c>
      <c r="C9" s="3">
        <f>C6+C7+C8</f>
        <v>-120150</v>
      </c>
      <c r="D9" s="3">
        <f>D6+D7+D8</f>
        <v>-125287</v>
      </c>
      <c r="E9" s="3">
        <f>E6+E7+E8</f>
        <v>-113538</v>
      </c>
      <c r="F9" s="3">
        <f>F6+F7+F8</f>
        <v>-209611</v>
      </c>
      <c r="G9" s="3">
        <f>G6+G7+G8</f>
        <v>-140565</v>
      </c>
      <c r="H9" s="3">
        <f>H6+H7+H8</f>
        <v>-135193.79999999999</v>
      </c>
    </row>
    <row r="10" spans="2:8" x14ac:dyDescent="0.45">
      <c r="B10" s="1" t="s">
        <v>8</v>
      </c>
      <c r="C10" s="3">
        <f>C5+C9</f>
        <v>113298</v>
      </c>
      <c r="D10" s="3">
        <f>D5+D9</f>
        <v>88034</v>
      </c>
      <c r="E10" s="3">
        <f>E5+E9</f>
        <v>113011</v>
      </c>
      <c r="F10" s="3">
        <f>F5+F9</f>
        <v>15004</v>
      </c>
      <c r="G10" s="3">
        <f>G5+G9</f>
        <v>63825</v>
      </c>
      <c r="H10" s="3">
        <f>H5+H9</f>
        <v>69850.13</v>
      </c>
    </row>
    <row r="11" spans="2:8" x14ac:dyDescent="0.45">
      <c r="B11" s="1" t="s">
        <v>9</v>
      </c>
      <c r="C11" s="3">
        <v>3042</v>
      </c>
      <c r="D11" s="3">
        <v>-166</v>
      </c>
      <c r="E11" s="3">
        <v>2161</v>
      </c>
      <c r="F11" s="3">
        <v>7087</v>
      </c>
      <c r="G11" s="3">
        <v>5474</v>
      </c>
      <c r="H11" s="6"/>
    </row>
    <row r="12" spans="2:8" x14ac:dyDescent="0.45">
      <c r="B12" s="1" t="s">
        <v>10</v>
      </c>
      <c r="C12" s="3">
        <v>-1039</v>
      </c>
      <c r="D12" s="3">
        <v>8358</v>
      </c>
      <c r="E12" s="3">
        <v>-56</v>
      </c>
      <c r="F12" s="3">
        <v>6302</v>
      </c>
      <c r="G12" s="3">
        <v>1823</v>
      </c>
      <c r="H12" s="6"/>
    </row>
    <row r="13" spans="2:8" x14ac:dyDescent="0.45">
      <c r="B13" s="1" t="s">
        <v>11</v>
      </c>
      <c r="C13" s="3">
        <f>C10+C11+C12</f>
        <v>115301</v>
      </c>
      <c r="D13" s="3">
        <f>D10+D11+D12</f>
        <v>96226</v>
      </c>
      <c r="E13" s="3">
        <f>E10+E11+E12</f>
        <v>115116</v>
      </c>
      <c r="F13" s="3">
        <f>F10+F11+F12</f>
        <v>28393</v>
      </c>
      <c r="G13" s="3">
        <f>G10+G11+G12</f>
        <v>71122</v>
      </c>
      <c r="H13" s="3">
        <f>H10+H11+H12</f>
        <v>69850.13</v>
      </c>
    </row>
    <row r="14" spans="2:8" x14ac:dyDescent="0.45">
      <c r="B14" s="1" t="s">
        <v>12</v>
      </c>
      <c r="C14" s="3">
        <v>-23060</v>
      </c>
      <c r="D14" s="3">
        <v>-7965</v>
      </c>
      <c r="E14" s="3">
        <v>-21857</v>
      </c>
      <c r="F14" s="3">
        <v>-17624</v>
      </c>
      <c r="G14" s="3">
        <v>-15239</v>
      </c>
      <c r="H14" s="6">
        <f>H13*-0.2</f>
        <v>-13970.026000000002</v>
      </c>
    </row>
    <row r="15" spans="2:8" x14ac:dyDescent="0.45">
      <c r="B15" s="1" t="s">
        <v>13</v>
      </c>
      <c r="C15" s="3">
        <v>-807</v>
      </c>
      <c r="D15" s="3">
        <v>2040</v>
      </c>
      <c r="E15" s="3">
        <v>212</v>
      </c>
      <c r="F15" s="3">
        <v>-1073</v>
      </c>
      <c r="G15" s="3">
        <v>-512</v>
      </c>
      <c r="H15" s="6"/>
    </row>
    <row r="16" spans="2:8" x14ac:dyDescent="0.45">
      <c r="B16" s="1" t="s">
        <v>14</v>
      </c>
      <c r="C16" s="3">
        <f>C13+C14+C15</f>
        <v>91434</v>
      </c>
      <c r="D16" s="3">
        <f>D13+D14+D15</f>
        <v>90301</v>
      </c>
      <c r="E16" s="3">
        <f>E13+E14+E15</f>
        <v>93471</v>
      </c>
      <c r="F16" s="3">
        <f>F13+F14+F15</f>
        <v>9696</v>
      </c>
      <c r="G16" s="3">
        <f>G13+G14+G15</f>
        <v>55371</v>
      </c>
      <c r="H16" s="3">
        <f>H13+H14+H15</f>
        <v>55880.104000000007</v>
      </c>
    </row>
    <row r="17" spans="2:8" x14ac:dyDescent="0.45">
      <c r="B17" s="1" t="s">
        <v>15</v>
      </c>
      <c r="C17" s="3">
        <v>-3874</v>
      </c>
      <c r="D17" s="3">
        <v>-136599</v>
      </c>
      <c r="E17" s="3">
        <v>-3993</v>
      </c>
      <c r="F17" s="3">
        <v>-946</v>
      </c>
      <c r="G17" s="3">
        <v>0</v>
      </c>
      <c r="H17" s="6"/>
    </row>
    <row r="18" spans="2:8" x14ac:dyDescent="0.45">
      <c r="B18" s="1" t="s">
        <v>16</v>
      </c>
      <c r="C18" s="3">
        <f>C16+C17</f>
        <v>87560</v>
      </c>
      <c r="D18" s="3">
        <f>D16+D17</f>
        <v>-46298</v>
      </c>
      <c r="E18" s="3">
        <f>E16+E17</f>
        <v>89478</v>
      </c>
      <c r="F18" s="3">
        <f>F16+F17</f>
        <v>8750</v>
      </c>
      <c r="G18" s="3">
        <f>G16+G17</f>
        <v>55371</v>
      </c>
      <c r="H18" s="3">
        <f>H16+H17</f>
        <v>55880.104000000007</v>
      </c>
    </row>
    <row r="19" spans="2:8" x14ac:dyDescent="0.45">
      <c r="B19" s="1" t="s">
        <v>17</v>
      </c>
      <c r="C19" s="3">
        <v>183550</v>
      </c>
      <c r="D19" s="3">
        <v>183550</v>
      </c>
      <c r="E19" s="3">
        <v>183550</v>
      </c>
      <c r="F19" s="3">
        <v>185752</v>
      </c>
      <c r="G19" s="3">
        <v>194154</v>
      </c>
    </row>
    <row r="20" spans="2:8" x14ac:dyDescent="0.45">
      <c r="B20" s="1"/>
      <c r="C20" s="3"/>
      <c r="D20" s="3"/>
      <c r="E20" s="3"/>
      <c r="F20" s="3"/>
      <c r="G20" s="3"/>
    </row>
    <row r="21" spans="2:8" x14ac:dyDescent="0.45">
      <c r="B21" s="1"/>
      <c r="C21" s="3"/>
      <c r="D21" s="3"/>
      <c r="E21" s="3"/>
      <c r="F21" s="3"/>
      <c r="G21" s="3"/>
    </row>
    <row r="22" spans="2:8" x14ac:dyDescent="0.45">
      <c r="B22" s="1" t="s">
        <v>18</v>
      </c>
      <c r="C22" s="5">
        <v>0</v>
      </c>
      <c r="D22" s="5">
        <f>IFERROR((D3-C3)/C3,0)</f>
        <v>-9.5534188922476337E-2</v>
      </c>
      <c r="E22" s="5">
        <f>IFERROR((E3-D3)/D3,0)</f>
        <v>2.2423340410164371E-2</v>
      </c>
      <c r="F22" s="5">
        <f>IFERROR((F3-E3)/E3,0)</f>
        <v>-5.5101844220621444E-3</v>
      </c>
      <c r="G22" s="5">
        <f>IFERROR((G3-F3)/F3,0)</f>
        <v>-2.9953009400272516E-2</v>
      </c>
      <c r="H22" s="5">
        <f>IFERROR((H3-G3)/G3,0)</f>
        <v>0</v>
      </c>
    </row>
    <row r="23" spans="2:8" x14ac:dyDescent="0.45">
      <c r="B23" s="1" t="s">
        <v>19</v>
      </c>
      <c r="C23" s="5">
        <f>C5/C3</f>
        <v>0.46213691405902019</v>
      </c>
      <c r="D23" s="5">
        <f>D5/D3</f>
        <v>0.46689794042329663</v>
      </c>
      <c r="E23" s="5">
        <f>E5/E3</f>
        <v>0.48497543536664989</v>
      </c>
      <c r="F23" s="5">
        <f>F5/F3</f>
        <v>0.48349947584924263</v>
      </c>
      <c r="G23" s="5">
        <f>G5/G3</f>
        <v>0.45354890534920977</v>
      </c>
      <c r="H23" s="5">
        <f>H5/H3</f>
        <v>0.45499999999999996</v>
      </c>
    </row>
    <row r="24" spans="2:8" x14ac:dyDescent="0.45">
      <c r="B24" s="1" t="s">
        <v>20</v>
      </c>
      <c r="C24" s="5">
        <f>C10/C3</f>
        <v>0.22428629968583527</v>
      </c>
      <c r="D24" s="5">
        <f>D10/D3</f>
        <v>0.19268095165138216</v>
      </c>
      <c r="E24" s="5">
        <f>E10/E3</f>
        <v>0.24192364091750779</v>
      </c>
      <c r="F24" s="5">
        <f>F10/F3</f>
        <v>3.2297157962032974E-2</v>
      </c>
      <c r="G24" s="5">
        <f>G10/G3</f>
        <v>0.14163001557763744</v>
      </c>
      <c r="H24" s="5">
        <f>H10/H3</f>
        <v>0.155</v>
      </c>
    </row>
    <row r="25" spans="2:8" x14ac:dyDescent="0.45">
      <c r="B25" s="1" t="s">
        <v>21</v>
      </c>
      <c r="C25" s="5">
        <f>C18/C3</f>
        <v>0.1733349962090393</v>
      </c>
      <c r="D25" s="5">
        <f>D18/D3</f>
        <v>-0.10133292477401563</v>
      </c>
      <c r="E25" s="5">
        <f>E18/E3</f>
        <v>0.19154634099350296</v>
      </c>
      <c r="F25" s="5">
        <f>F18/F3</f>
        <v>1.8834986148213044E-2</v>
      </c>
      <c r="G25" s="5">
        <f>G18/G3</f>
        <v>0.12287027955423992</v>
      </c>
      <c r="H25" s="5">
        <f>H18/H3</f>
        <v>0.12400000000000001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E31"/>
  <sheetViews>
    <sheetView workbookViewId="0"/>
  </sheetViews>
  <sheetFormatPr defaultRowHeight="14.25" x14ac:dyDescent="0.45"/>
  <cols>
    <col min="2" max="2" width="29.73046875" customWidth="1"/>
  </cols>
  <sheetData>
    <row r="2" spans="2:5" x14ac:dyDescent="0.45">
      <c r="C2" s="4">
        <v>2022</v>
      </c>
      <c r="D2" s="4">
        <v>2023</v>
      </c>
      <c r="E2" s="4">
        <v>2024</v>
      </c>
    </row>
    <row r="3" spans="2:5" x14ac:dyDescent="0.45">
      <c r="B3" s="1" t="s">
        <v>14</v>
      </c>
      <c r="C3" s="3">
        <v>-13028</v>
      </c>
      <c r="D3" s="3">
        <v>112692</v>
      </c>
      <c r="E3" s="3">
        <v>344763</v>
      </c>
    </row>
    <row r="4" spans="2:5" x14ac:dyDescent="0.45">
      <c r="B4" s="1" t="s">
        <v>27</v>
      </c>
      <c r="C4" s="3">
        <v>705</v>
      </c>
      <c r="D4" s="3">
        <v>1459</v>
      </c>
      <c r="E4" s="3">
        <v>8345</v>
      </c>
    </row>
    <row r="5" spans="2:5" x14ac:dyDescent="0.45">
      <c r="B5" s="1" t="s">
        <v>28</v>
      </c>
      <c r="C5" s="3">
        <v>20645</v>
      </c>
      <c r="D5" s="3">
        <v>154247</v>
      </c>
      <c r="E5" s="3">
        <v>52348</v>
      </c>
    </row>
    <row r="6" spans="2:5" x14ac:dyDescent="0.45">
      <c r="B6" s="1" t="s">
        <v>29</v>
      </c>
      <c r="C6" s="3">
        <v>-2142</v>
      </c>
      <c r="D6" s="3">
        <v>3672</v>
      </c>
      <c r="E6" s="3">
        <v>-16635</v>
      </c>
    </row>
    <row r="7" spans="2:5" x14ac:dyDescent="0.45">
      <c r="B7" s="1" t="s">
        <v>30</v>
      </c>
      <c r="C7" s="3">
        <v>6180</v>
      </c>
      <c r="D7" s="3">
        <v>272071</v>
      </c>
      <c r="E7" s="3">
        <v>388821</v>
      </c>
    </row>
    <row r="8" spans="2:5" x14ac:dyDescent="0.45">
      <c r="B8" s="1" t="s">
        <v>31</v>
      </c>
      <c r="C8" s="3">
        <v>0</v>
      </c>
      <c r="D8" s="3">
        <v>-281</v>
      </c>
      <c r="E8" s="3">
        <v>-1482</v>
      </c>
    </row>
    <row r="9" spans="2:5" x14ac:dyDescent="0.45">
      <c r="B9" s="1" t="s">
        <v>32</v>
      </c>
      <c r="C9" s="3">
        <v>0</v>
      </c>
      <c r="D9" s="3">
        <v>-47345</v>
      </c>
      <c r="E9" s="3">
        <v>-41107</v>
      </c>
    </row>
    <row r="10" spans="2:5" x14ac:dyDescent="0.45">
      <c r="B10" s="1" t="s">
        <v>33</v>
      </c>
      <c r="C10" s="3">
        <v>65</v>
      </c>
      <c r="D10" s="3">
        <v>33636</v>
      </c>
      <c r="E10" s="3">
        <v>41107</v>
      </c>
    </row>
    <row r="11" spans="2:5" x14ac:dyDescent="0.45">
      <c r="B11" s="1" t="s">
        <v>34</v>
      </c>
      <c r="C11" s="3">
        <v>-1642</v>
      </c>
      <c r="D11" s="3">
        <v>-6653</v>
      </c>
      <c r="E11" s="3">
        <v>-29962</v>
      </c>
    </row>
    <row r="12" spans="2:5" x14ac:dyDescent="0.45">
      <c r="B12" s="1" t="s">
        <v>35</v>
      </c>
      <c r="C12" s="3">
        <v>-1577</v>
      </c>
      <c r="D12" s="3">
        <v>-20643</v>
      </c>
      <c r="E12" s="3">
        <v>-31444</v>
      </c>
    </row>
    <row r="13" spans="2:5" x14ac:dyDescent="0.45">
      <c r="B13" s="1" t="s">
        <v>36</v>
      </c>
      <c r="C13" s="3">
        <v>0</v>
      </c>
      <c r="D13" s="3">
        <v>0</v>
      </c>
      <c r="E13" s="3">
        <v>-3715</v>
      </c>
    </row>
    <row r="14" spans="2:5" x14ac:dyDescent="0.45">
      <c r="B14" s="1" t="s">
        <v>37</v>
      </c>
      <c r="C14" s="3">
        <v>0</v>
      </c>
      <c r="D14" s="3">
        <v>0</v>
      </c>
      <c r="E14" s="3">
        <v>-28786</v>
      </c>
    </row>
    <row r="15" spans="2:5" x14ac:dyDescent="0.45">
      <c r="B15" s="1" t="s">
        <v>38</v>
      </c>
      <c r="C15" s="3">
        <v>0</v>
      </c>
      <c r="D15" s="3">
        <v>0</v>
      </c>
      <c r="E15" s="3">
        <v>0</v>
      </c>
    </row>
    <row r="16" spans="2:5" x14ac:dyDescent="0.45">
      <c r="B16" s="1" t="s">
        <v>39</v>
      </c>
      <c r="C16" s="3">
        <v>0</v>
      </c>
      <c r="D16" s="3">
        <v>0</v>
      </c>
      <c r="E16" s="3">
        <v>0</v>
      </c>
    </row>
    <row r="17" spans="2:5" x14ac:dyDescent="0.45">
      <c r="B17" s="1" t="s">
        <v>40</v>
      </c>
      <c r="C17" s="3">
        <v>-5</v>
      </c>
      <c r="D17" s="3">
        <v>48431</v>
      </c>
      <c r="E17" s="3">
        <v>8668</v>
      </c>
    </row>
    <row r="18" spans="2:5" x14ac:dyDescent="0.45">
      <c r="B18" s="1" t="s">
        <v>41</v>
      </c>
      <c r="C18" s="3">
        <v>-5</v>
      </c>
      <c r="D18" s="3">
        <v>48431</v>
      </c>
      <c r="E18" s="3">
        <v>-23833</v>
      </c>
    </row>
    <row r="19" spans="2:5" x14ac:dyDescent="0.45">
      <c r="B19" s="1" t="s">
        <v>42</v>
      </c>
      <c r="C19" s="3">
        <v>4598</v>
      </c>
      <c r="D19" s="3">
        <v>299858</v>
      </c>
      <c r="E19" s="3">
        <v>333545</v>
      </c>
    </row>
    <row r="20" spans="2:5" x14ac:dyDescent="0.45">
      <c r="B20" s="1" t="s">
        <v>43</v>
      </c>
      <c r="C20" s="3">
        <v>0</v>
      </c>
      <c r="D20" s="3">
        <v>-1289</v>
      </c>
      <c r="E20" s="3">
        <v>1611</v>
      </c>
    </row>
    <row r="21" spans="2:5" x14ac:dyDescent="0.45">
      <c r="B21" s="1" t="s">
        <v>44</v>
      </c>
      <c r="C21" s="3">
        <v>24232</v>
      </c>
      <c r="D21" s="3">
        <v>28246</v>
      </c>
      <c r="E21" s="3">
        <v>318258</v>
      </c>
    </row>
    <row r="22" spans="2:5" x14ac:dyDescent="0.45">
      <c r="B22" s="1" t="s">
        <v>45</v>
      </c>
      <c r="C22" s="3">
        <v>28830</v>
      </c>
      <c r="D22" s="3">
        <v>326816</v>
      </c>
      <c r="E22" s="3">
        <v>653414</v>
      </c>
    </row>
    <row r="23" spans="2:5" x14ac:dyDescent="0.45">
      <c r="B23" s="1" t="s">
        <v>46</v>
      </c>
      <c r="C23" s="3">
        <v>6180</v>
      </c>
      <c r="D23" s="3">
        <v>272071</v>
      </c>
      <c r="E23" s="3">
        <v>388821</v>
      </c>
    </row>
    <row r="24" spans="2:5" x14ac:dyDescent="0.45">
      <c r="B24" s="1" t="s">
        <v>47</v>
      </c>
      <c r="C24" s="3">
        <v>-1542</v>
      </c>
      <c r="D24" s="3">
        <v>-4483</v>
      </c>
      <c r="E24" s="3">
        <v>-33058</v>
      </c>
    </row>
    <row r="25" spans="2:5" x14ac:dyDescent="0.45">
      <c r="B25" s="1" t="s">
        <v>48</v>
      </c>
      <c r="C25" s="3">
        <f>C23</f>
        <v>6180</v>
      </c>
      <c r="D25" s="3">
        <f>D23</f>
        <v>272071</v>
      </c>
      <c r="E25" s="3">
        <f>E23</f>
        <v>388821</v>
      </c>
    </row>
    <row r="26" spans="2:5" x14ac:dyDescent="0.45">
      <c r="B26" s="1"/>
      <c r="C26" s="3"/>
      <c r="D26" s="3"/>
      <c r="E26" s="3"/>
    </row>
    <row r="27" spans="2:5" x14ac:dyDescent="0.45">
      <c r="B27" s="1"/>
      <c r="C27" s="3"/>
      <c r="D27" s="3"/>
      <c r="E27" s="3"/>
    </row>
    <row r="28" spans="2:5" x14ac:dyDescent="0.45">
      <c r="B28" s="1" t="s">
        <v>49</v>
      </c>
      <c r="C28" s="5">
        <v>0</v>
      </c>
      <c r="D28" s="5">
        <v>43.022299999999987</v>
      </c>
      <c r="E28" s="5">
        <v>0.42909999999999998</v>
      </c>
    </row>
    <row r="29" spans="2:5" x14ac:dyDescent="0.45">
      <c r="B29" s="1" t="s">
        <v>50</v>
      </c>
      <c r="C29" s="5">
        <v>0</v>
      </c>
      <c r="D29" s="5">
        <v>1.9080999999999999</v>
      </c>
      <c r="E29" s="5">
        <v>6.3739999999999997</v>
      </c>
    </row>
    <row r="30" spans="2:5" x14ac:dyDescent="0.45">
      <c r="B30" s="1" t="s">
        <v>51</v>
      </c>
      <c r="C30" s="5">
        <v>0</v>
      </c>
      <c r="D30" s="5">
        <v>56.685400000000001</v>
      </c>
      <c r="E30" s="5">
        <v>0.32950000000000002</v>
      </c>
    </row>
    <row r="31" spans="2:5" x14ac:dyDescent="0.45">
      <c r="B31" s="1" t="s">
        <v>52</v>
      </c>
      <c r="C31" s="5">
        <v>0.75060000000000004</v>
      </c>
      <c r="D31" s="5">
        <v>0.98349999999999993</v>
      </c>
      <c r="E31" s="5">
        <v>0.91500000000000004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G31"/>
  <sheetViews>
    <sheetView workbookViewId="0"/>
  </sheetViews>
  <sheetFormatPr defaultRowHeight="14.25" x14ac:dyDescent="0.45"/>
  <cols>
    <col min="2" max="2" width="29.73046875" customWidth="1"/>
  </cols>
  <sheetData>
    <row r="2" spans="2:7" x14ac:dyDescent="0.45">
      <c r="C2" s="4" t="s">
        <v>22</v>
      </c>
      <c r="D2" s="4" t="s">
        <v>23</v>
      </c>
      <c r="E2" s="4" t="s">
        <v>24</v>
      </c>
      <c r="F2" s="4" t="s">
        <v>25</v>
      </c>
      <c r="G2" s="4" t="s">
        <v>26</v>
      </c>
    </row>
    <row r="3" spans="2:7" x14ac:dyDescent="0.45">
      <c r="B3" s="1" t="s">
        <v>14</v>
      </c>
      <c r="C3" s="3">
        <v>91434</v>
      </c>
      <c r="D3" s="3">
        <v>90300</v>
      </c>
      <c r="E3" s="3">
        <v>93471</v>
      </c>
      <c r="F3" s="3">
        <v>9696</v>
      </c>
      <c r="G3" s="3">
        <v>55372</v>
      </c>
    </row>
    <row r="4" spans="2:7" x14ac:dyDescent="0.45">
      <c r="B4" s="1" t="s">
        <v>27</v>
      </c>
      <c r="C4" s="3">
        <v>0</v>
      </c>
      <c r="D4" s="3">
        <v>0</v>
      </c>
      <c r="E4" s="3">
        <v>0</v>
      </c>
      <c r="F4" s="3">
        <v>0</v>
      </c>
      <c r="G4" s="3">
        <v>0</v>
      </c>
    </row>
    <row r="5" spans="2:7" x14ac:dyDescent="0.45">
      <c r="B5" s="1" t="s">
        <v>28</v>
      </c>
      <c r="C5" s="3">
        <v>0</v>
      </c>
      <c r="D5" s="3">
        <v>0</v>
      </c>
      <c r="E5" s="3">
        <v>0</v>
      </c>
      <c r="F5" s="3">
        <v>0</v>
      </c>
      <c r="G5" s="3">
        <v>0</v>
      </c>
    </row>
    <row r="6" spans="2:7" x14ac:dyDescent="0.45">
      <c r="B6" s="1" t="s">
        <v>29</v>
      </c>
      <c r="C6" s="3">
        <v>16193</v>
      </c>
      <c r="D6" s="3">
        <v>-11834</v>
      </c>
      <c r="E6" s="3">
        <v>-43898</v>
      </c>
      <c r="F6" s="3">
        <v>75513</v>
      </c>
      <c r="G6" s="3">
        <v>8744</v>
      </c>
    </row>
    <row r="7" spans="2:7" x14ac:dyDescent="0.45">
      <c r="B7" s="1" t="s">
        <v>30</v>
      </c>
      <c r="C7" s="3">
        <v>107627</v>
      </c>
      <c r="D7" s="3">
        <v>78466</v>
      </c>
      <c r="E7" s="3">
        <v>49572</v>
      </c>
      <c r="F7" s="3">
        <v>85209</v>
      </c>
      <c r="G7" s="3">
        <v>64115</v>
      </c>
    </row>
    <row r="8" spans="2:7" x14ac:dyDescent="0.45">
      <c r="B8" s="1" t="s">
        <v>31</v>
      </c>
      <c r="C8" s="3">
        <v>0</v>
      </c>
      <c r="D8" s="3">
        <v>0</v>
      </c>
      <c r="E8" s="3">
        <v>0</v>
      </c>
      <c r="F8" s="3">
        <v>0</v>
      </c>
      <c r="G8" s="3">
        <v>0</v>
      </c>
    </row>
    <row r="9" spans="2:7" x14ac:dyDescent="0.45">
      <c r="B9" s="1" t="s">
        <v>32</v>
      </c>
      <c r="C9" s="3">
        <v>0</v>
      </c>
      <c r="D9" s="3">
        <v>-41107</v>
      </c>
      <c r="E9" s="3">
        <v>0</v>
      </c>
      <c r="F9" s="3">
        <v>0</v>
      </c>
      <c r="G9" s="3">
        <v>0</v>
      </c>
    </row>
    <row r="10" spans="2:7" x14ac:dyDescent="0.45">
      <c r="B10" s="1" t="s">
        <v>33</v>
      </c>
      <c r="C10" s="3">
        <v>0</v>
      </c>
      <c r="D10" s="3">
        <v>41107</v>
      </c>
      <c r="E10" s="3">
        <v>0</v>
      </c>
      <c r="F10" s="3">
        <v>0</v>
      </c>
      <c r="G10" s="3">
        <v>0</v>
      </c>
    </row>
    <row r="11" spans="2:7" x14ac:dyDescent="0.45">
      <c r="B11" s="1" t="s">
        <v>34</v>
      </c>
      <c r="C11" s="3">
        <v>-11479</v>
      </c>
      <c r="D11" s="3">
        <v>-5847</v>
      </c>
      <c r="E11" s="3">
        <v>-26502</v>
      </c>
      <c r="F11" s="3">
        <v>-16289</v>
      </c>
      <c r="G11" s="3">
        <v>-27459</v>
      </c>
    </row>
    <row r="12" spans="2:7" x14ac:dyDescent="0.45">
      <c r="B12" s="1" t="s">
        <v>35</v>
      </c>
      <c r="C12" s="3">
        <v>-11479</v>
      </c>
      <c r="D12" s="3">
        <v>-5847</v>
      </c>
      <c r="E12" s="3">
        <v>-26502</v>
      </c>
      <c r="F12" s="3">
        <v>-16289</v>
      </c>
      <c r="G12" s="3">
        <v>-27459</v>
      </c>
    </row>
    <row r="13" spans="2:7" x14ac:dyDescent="0.45">
      <c r="B13" s="1" t="s">
        <v>36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</row>
    <row r="14" spans="2:7" x14ac:dyDescent="0.45">
      <c r="B14" s="1" t="s">
        <v>37</v>
      </c>
      <c r="C14" s="3">
        <v>-16416</v>
      </c>
      <c r="D14" s="3">
        <v>0</v>
      </c>
      <c r="E14" s="3">
        <v>0</v>
      </c>
      <c r="F14" s="3">
        <v>0</v>
      </c>
      <c r="G14" s="3">
        <v>0</v>
      </c>
    </row>
    <row r="15" spans="2:7" x14ac:dyDescent="0.45">
      <c r="B15" s="1" t="s">
        <v>38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</row>
    <row r="16" spans="2:7" x14ac:dyDescent="0.45">
      <c r="B16" s="1" t="s">
        <v>39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</row>
    <row r="17" spans="2:7" x14ac:dyDescent="0.45">
      <c r="B17" s="1" t="s">
        <v>40</v>
      </c>
      <c r="C17" s="3">
        <v>2385</v>
      </c>
      <c r="D17" s="3">
        <v>-85</v>
      </c>
      <c r="E17" s="3">
        <v>27837</v>
      </c>
      <c r="F17" s="3">
        <v>423336</v>
      </c>
      <c r="G17" s="3">
        <v>1365</v>
      </c>
    </row>
    <row r="18" spans="2:7" x14ac:dyDescent="0.45">
      <c r="B18" s="1" t="s">
        <v>41</v>
      </c>
      <c r="C18" s="3">
        <v>-14030</v>
      </c>
      <c r="D18" s="3">
        <v>-85</v>
      </c>
      <c r="E18" s="3">
        <v>27837</v>
      </c>
      <c r="F18" s="3">
        <v>423336</v>
      </c>
      <c r="G18" s="3">
        <v>1365</v>
      </c>
    </row>
    <row r="19" spans="2:7" x14ac:dyDescent="0.45">
      <c r="B19" s="1" t="s">
        <v>42</v>
      </c>
      <c r="C19" s="3">
        <v>82117</v>
      </c>
      <c r="D19" s="3">
        <v>72534</v>
      </c>
      <c r="E19" s="3">
        <v>50907</v>
      </c>
      <c r="F19" s="3">
        <v>492256</v>
      </c>
      <c r="G19" s="3">
        <v>38021</v>
      </c>
    </row>
    <row r="20" spans="2:7" x14ac:dyDescent="0.45">
      <c r="B20" s="1" t="s">
        <v>43</v>
      </c>
      <c r="C20" s="3">
        <v>-572</v>
      </c>
      <c r="D20" s="3">
        <v>1781</v>
      </c>
      <c r="E20" s="3">
        <v>-691</v>
      </c>
      <c r="F20" s="3">
        <v>-5034</v>
      </c>
      <c r="G20" s="3">
        <v>-2177</v>
      </c>
    </row>
    <row r="21" spans="2:7" x14ac:dyDescent="0.45">
      <c r="B21" s="1" t="s">
        <v>44</v>
      </c>
      <c r="C21" s="3">
        <v>521328</v>
      </c>
      <c r="D21" s="3">
        <v>579099</v>
      </c>
      <c r="E21" s="3">
        <v>656590</v>
      </c>
      <c r="F21" s="3">
        <v>715744</v>
      </c>
      <c r="G21" s="3">
        <v>1211871</v>
      </c>
    </row>
    <row r="22" spans="2:7" x14ac:dyDescent="0.45">
      <c r="B22" s="1" t="s">
        <v>45</v>
      </c>
      <c r="C22" s="3">
        <v>602873</v>
      </c>
      <c r="D22" s="3">
        <v>653414</v>
      </c>
      <c r="E22" s="3">
        <v>706805</v>
      </c>
      <c r="F22" s="3">
        <v>1202966</v>
      </c>
      <c r="G22" s="3">
        <v>1247715</v>
      </c>
    </row>
    <row r="23" spans="2:7" x14ac:dyDescent="0.45">
      <c r="B23" s="1" t="s">
        <v>46</v>
      </c>
      <c r="C23" s="3">
        <v>107627</v>
      </c>
      <c r="D23" s="3">
        <v>78466</v>
      </c>
      <c r="E23" s="3">
        <v>49572</v>
      </c>
      <c r="F23" s="3">
        <v>85209</v>
      </c>
      <c r="G23" s="3">
        <v>64115</v>
      </c>
    </row>
    <row r="24" spans="2:7" x14ac:dyDescent="0.45">
      <c r="B24" s="1" t="s">
        <v>47</v>
      </c>
      <c r="C24" s="3">
        <v>-14345</v>
      </c>
      <c r="D24" s="3">
        <v>-6180</v>
      </c>
      <c r="E24" s="3">
        <v>0</v>
      </c>
      <c r="F24" s="3">
        <v>0</v>
      </c>
      <c r="G24" s="3">
        <v>0</v>
      </c>
    </row>
    <row r="25" spans="2:7" x14ac:dyDescent="0.45">
      <c r="B25" s="1" t="s">
        <v>48</v>
      </c>
      <c r="C25" s="3">
        <f>C23</f>
        <v>107627</v>
      </c>
      <c r="D25" s="3">
        <f>D23</f>
        <v>78466</v>
      </c>
      <c r="E25" s="3">
        <f>E23</f>
        <v>49572</v>
      </c>
      <c r="F25" s="3">
        <f>F23</f>
        <v>85209</v>
      </c>
      <c r="G25" s="3">
        <f>G23</f>
        <v>64115</v>
      </c>
    </row>
    <row r="26" spans="2:7" x14ac:dyDescent="0.45">
      <c r="B26" s="1"/>
      <c r="C26" s="3"/>
      <c r="D26" s="3"/>
      <c r="E26" s="3"/>
      <c r="F26" s="3"/>
      <c r="G26" s="3"/>
    </row>
    <row r="27" spans="2:7" x14ac:dyDescent="0.45">
      <c r="B27" s="1"/>
      <c r="C27" s="3"/>
      <c r="D27" s="3"/>
      <c r="E27" s="3"/>
      <c r="F27" s="3"/>
      <c r="G27" s="3"/>
    </row>
    <row r="28" spans="2:7" x14ac:dyDescent="0.45">
      <c r="B28" s="1" t="s">
        <v>49</v>
      </c>
      <c r="C28" s="5">
        <v>0</v>
      </c>
      <c r="D28" s="5">
        <v>-0.27089999999999997</v>
      </c>
      <c r="E28" s="5">
        <v>-0.36820000000000003</v>
      </c>
      <c r="F28" s="5">
        <v>0.71889999999999998</v>
      </c>
      <c r="G28" s="5">
        <v>-0.24759999999999999</v>
      </c>
    </row>
    <row r="29" spans="2:7" x14ac:dyDescent="0.45">
      <c r="B29" s="1" t="s">
        <v>50</v>
      </c>
      <c r="C29" s="5">
        <v>0</v>
      </c>
      <c r="D29" s="5">
        <v>-0.56920000000000004</v>
      </c>
      <c r="E29" s="5">
        <v>0</v>
      </c>
      <c r="F29" s="5">
        <v>0</v>
      </c>
      <c r="G29" s="5">
        <v>0</v>
      </c>
    </row>
    <row r="30" spans="2:7" x14ac:dyDescent="0.45">
      <c r="B30" s="1" t="s">
        <v>51</v>
      </c>
      <c r="C30" s="5">
        <v>0</v>
      </c>
      <c r="D30" s="5">
        <v>-0.32840000000000003</v>
      </c>
      <c r="E30" s="5">
        <v>-0.31419999999999998</v>
      </c>
      <c r="F30" s="5">
        <v>0.71889999999999998</v>
      </c>
      <c r="G30" s="5">
        <v>-0.24759999999999999</v>
      </c>
    </row>
    <row r="31" spans="2:7" x14ac:dyDescent="0.45">
      <c r="B31" s="1" t="s">
        <v>52</v>
      </c>
      <c r="C31" s="5">
        <v>1</v>
      </c>
      <c r="D31" s="5">
        <v>0.92120000000000002</v>
      </c>
      <c r="E31" s="5">
        <v>1</v>
      </c>
      <c r="F31" s="5">
        <v>1</v>
      </c>
      <c r="G31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E40"/>
  <sheetViews>
    <sheetView workbookViewId="0"/>
  </sheetViews>
  <sheetFormatPr defaultRowHeight="14.25" x14ac:dyDescent="0.45"/>
  <cols>
    <col min="2" max="2" width="28.73046875" customWidth="1"/>
  </cols>
  <sheetData>
    <row r="2" spans="2:5" x14ac:dyDescent="0.45">
      <c r="C2" s="4">
        <v>2022</v>
      </c>
      <c r="D2" s="4">
        <v>2023</v>
      </c>
      <c r="E2" s="4">
        <v>2024</v>
      </c>
    </row>
    <row r="3" spans="2:5" x14ac:dyDescent="0.45">
      <c r="B3" s="1" t="s">
        <v>53</v>
      </c>
      <c r="C3" s="3">
        <v>28830</v>
      </c>
      <c r="D3" s="3">
        <v>340886</v>
      </c>
      <c r="E3" s="3">
        <v>665212</v>
      </c>
    </row>
    <row r="4" spans="2:5" x14ac:dyDescent="0.45">
      <c r="B4" s="1" t="s">
        <v>54</v>
      </c>
      <c r="C4" s="3">
        <v>2715</v>
      </c>
      <c r="D4" s="3">
        <v>13053</v>
      </c>
      <c r="E4" s="3">
        <v>16712</v>
      </c>
    </row>
    <row r="5" spans="2:5" x14ac:dyDescent="0.45">
      <c r="B5" s="1" t="s">
        <v>55</v>
      </c>
      <c r="C5" s="3">
        <v>4766</v>
      </c>
      <c r="D5" s="3">
        <v>5838</v>
      </c>
      <c r="E5" s="3">
        <v>18096</v>
      </c>
    </row>
    <row r="6" spans="2:5" x14ac:dyDescent="0.45">
      <c r="B6" s="1" t="s">
        <v>56</v>
      </c>
      <c r="C6" s="3">
        <v>3281</v>
      </c>
      <c r="D6" s="3">
        <v>12845</v>
      </c>
      <c r="E6" s="3">
        <v>45334</v>
      </c>
    </row>
    <row r="7" spans="2:5" x14ac:dyDescent="0.45">
      <c r="B7" s="1" t="s">
        <v>57</v>
      </c>
      <c r="C7" s="3">
        <v>39592</v>
      </c>
      <c r="D7" s="3">
        <v>372622</v>
      </c>
      <c r="E7" s="3">
        <v>745354</v>
      </c>
    </row>
    <row r="8" spans="2:5" x14ac:dyDescent="0.45">
      <c r="B8" s="1" t="s">
        <v>58</v>
      </c>
      <c r="C8" s="3">
        <v>11146</v>
      </c>
      <c r="D8" s="3">
        <v>21154</v>
      </c>
      <c r="E8" s="3">
        <v>110193</v>
      </c>
    </row>
    <row r="9" spans="2:5" x14ac:dyDescent="0.45">
      <c r="B9" s="1" t="s">
        <v>59</v>
      </c>
      <c r="C9" s="3">
        <v>0</v>
      </c>
      <c r="D9" s="3">
        <v>0</v>
      </c>
      <c r="E9" s="3">
        <v>1622</v>
      </c>
    </row>
    <row r="10" spans="2:5" x14ac:dyDescent="0.45">
      <c r="B10" s="1" t="s">
        <v>60</v>
      </c>
      <c r="C10" s="3">
        <v>5841</v>
      </c>
      <c r="D10" s="3">
        <v>20344</v>
      </c>
      <c r="E10" s="3">
        <v>46643</v>
      </c>
    </row>
    <row r="11" spans="2:5" x14ac:dyDescent="0.45">
      <c r="B11" s="1" t="s">
        <v>61</v>
      </c>
      <c r="C11" s="3">
        <v>16986</v>
      </c>
      <c r="D11" s="3">
        <v>41498</v>
      </c>
      <c r="E11" s="3">
        <v>158457</v>
      </c>
    </row>
    <row r="12" spans="2:5" x14ac:dyDescent="0.45">
      <c r="B12" s="1" t="s">
        <v>62</v>
      </c>
      <c r="C12" s="3">
        <f>C7+C11</f>
        <v>56578</v>
      </c>
      <c r="D12" s="3">
        <f>D7+D11</f>
        <v>414120</v>
      </c>
      <c r="E12" s="3">
        <f>E7+E11</f>
        <v>903811</v>
      </c>
    </row>
    <row r="13" spans="2:5" x14ac:dyDescent="0.45">
      <c r="B13" s="1" t="s">
        <v>63</v>
      </c>
      <c r="C13" s="3">
        <v>9235</v>
      </c>
      <c r="D13" s="3">
        <v>63081</v>
      </c>
      <c r="E13" s="3">
        <v>81815</v>
      </c>
    </row>
    <row r="14" spans="2:5" x14ac:dyDescent="0.45">
      <c r="B14" s="1" t="s">
        <v>64</v>
      </c>
      <c r="C14" s="3">
        <v>4653</v>
      </c>
      <c r="D14" s="3">
        <v>7400</v>
      </c>
      <c r="E14" s="3">
        <v>26779</v>
      </c>
    </row>
    <row r="15" spans="2:5" x14ac:dyDescent="0.45">
      <c r="B15" s="1" t="s">
        <v>65</v>
      </c>
      <c r="C15" s="3">
        <v>28860</v>
      </c>
      <c r="D15" s="3">
        <v>134233</v>
      </c>
      <c r="E15" s="3">
        <v>206273</v>
      </c>
    </row>
    <row r="16" spans="2:5" x14ac:dyDescent="0.45">
      <c r="B16" s="1" t="s">
        <v>66</v>
      </c>
      <c r="C16" s="3">
        <v>42747</v>
      </c>
      <c r="D16" s="3">
        <v>204714</v>
      </c>
      <c r="E16" s="3">
        <v>314867</v>
      </c>
    </row>
    <row r="17" spans="2:5" x14ac:dyDescent="0.45">
      <c r="B17" s="1" t="s">
        <v>67</v>
      </c>
      <c r="C17" s="3">
        <v>4460</v>
      </c>
      <c r="D17" s="3">
        <v>7914</v>
      </c>
      <c r="E17" s="3">
        <v>48316</v>
      </c>
    </row>
    <row r="18" spans="2:5" x14ac:dyDescent="0.45">
      <c r="B18" s="1" t="s">
        <v>68</v>
      </c>
      <c r="C18" s="3">
        <v>2905</v>
      </c>
      <c r="D18" s="3">
        <v>19148</v>
      </c>
      <c r="E18" s="3">
        <v>35256</v>
      </c>
    </row>
    <row r="19" spans="2:5" x14ac:dyDescent="0.45">
      <c r="B19" s="1" t="s">
        <v>69</v>
      </c>
      <c r="C19" s="3">
        <v>7365</v>
      </c>
      <c r="D19" s="3">
        <v>27062</v>
      </c>
      <c r="E19" s="3">
        <v>83573</v>
      </c>
    </row>
    <row r="20" spans="2:5" x14ac:dyDescent="0.45">
      <c r="B20" s="1" t="s">
        <v>70</v>
      </c>
      <c r="C20" s="3">
        <f>C16+C19</f>
        <v>50112</v>
      </c>
      <c r="D20" s="3">
        <f>D16+D19</f>
        <v>231776</v>
      </c>
      <c r="E20" s="3">
        <f>E16+E19</f>
        <v>398440</v>
      </c>
    </row>
    <row r="21" spans="2:5" x14ac:dyDescent="0.45">
      <c r="B21" s="1" t="s">
        <v>71</v>
      </c>
      <c r="C21" s="3">
        <v>14170</v>
      </c>
      <c r="D21" s="3">
        <v>11630</v>
      </c>
      <c r="E21" s="3">
        <v>12449</v>
      </c>
    </row>
    <row r="22" spans="2:5" x14ac:dyDescent="0.45">
      <c r="B22" s="1" t="s">
        <v>72</v>
      </c>
      <c r="C22" s="3">
        <v>-58331</v>
      </c>
      <c r="D22" s="3">
        <v>47131</v>
      </c>
      <c r="E22" s="3">
        <v>377088</v>
      </c>
    </row>
    <row r="23" spans="2:5" x14ac:dyDescent="0.45">
      <c r="B23" s="1" t="s">
        <v>73</v>
      </c>
      <c r="C23" s="3">
        <v>50617</v>
      </c>
      <c r="D23" s="3">
        <v>121426</v>
      </c>
      <c r="E23" s="3">
        <v>102055</v>
      </c>
    </row>
    <row r="24" spans="2:5" x14ac:dyDescent="0.45">
      <c r="B24" s="1" t="s">
        <v>74</v>
      </c>
      <c r="C24" s="3">
        <v>6456</v>
      </c>
      <c r="D24" s="3">
        <v>180187</v>
      </c>
      <c r="E24" s="3">
        <v>491592</v>
      </c>
    </row>
    <row r="25" spans="2:5" x14ac:dyDescent="0.45">
      <c r="B25" s="1" t="s">
        <v>75</v>
      </c>
      <c r="C25" s="3">
        <v>10</v>
      </c>
      <c r="D25" s="3">
        <v>2157</v>
      </c>
      <c r="E25" s="3">
        <v>13780</v>
      </c>
    </row>
    <row r="26" spans="2:5" x14ac:dyDescent="0.45">
      <c r="B26" s="1" t="s">
        <v>76</v>
      </c>
      <c r="C26" s="3">
        <f>C12+C20</f>
        <v>106690</v>
      </c>
      <c r="D26" s="3">
        <f>D12+D20</f>
        <v>645896</v>
      </c>
      <c r="E26" s="3">
        <f>E12+E20</f>
        <v>1302251</v>
      </c>
    </row>
    <row r="27" spans="2:5" x14ac:dyDescent="0.45">
      <c r="B27" s="1" t="s">
        <v>77</v>
      </c>
      <c r="C27" s="3">
        <v>-44150</v>
      </c>
      <c r="D27" s="3">
        <v>57522</v>
      </c>
      <c r="E27" s="3">
        <v>363643</v>
      </c>
    </row>
    <row r="28" spans="2:5" x14ac:dyDescent="0.45">
      <c r="B28" s="1" t="s">
        <v>78</v>
      </c>
      <c r="C28" s="3">
        <v>9113</v>
      </c>
      <c r="D28" s="3">
        <v>15314</v>
      </c>
      <c r="E28" s="3">
        <v>75096</v>
      </c>
    </row>
    <row r="29" spans="2:5" x14ac:dyDescent="0.45">
      <c r="B29" s="1" t="s">
        <v>79</v>
      </c>
      <c r="C29" s="3">
        <v>-19717</v>
      </c>
      <c r="D29" s="3">
        <v>-325572</v>
      </c>
      <c r="E29" s="3">
        <v>-590116</v>
      </c>
    </row>
    <row r="30" spans="2:5" x14ac:dyDescent="0.45">
      <c r="B30" s="1" t="s">
        <v>80</v>
      </c>
      <c r="C30" s="3">
        <v>15912</v>
      </c>
      <c r="D30" s="3">
        <v>26993</v>
      </c>
      <c r="E30" s="3">
        <v>128289</v>
      </c>
    </row>
    <row r="31" spans="2:5" x14ac:dyDescent="0.45">
      <c r="B31" s="1" t="s">
        <v>81</v>
      </c>
      <c r="C31" s="3">
        <v>6466</v>
      </c>
      <c r="D31" s="3">
        <v>182344</v>
      </c>
      <c r="E31" s="3">
        <v>505372</v>
      </c>
    </row>
    <row r="32" spans="2:5" x14ac:dyDescent="0.45">
      <c r="B32" s="1" t="s">
        <v>82</v>
      </c>
      <c r="C32" s="3">
        <v>-10520</v>
      </c>
      <c r="D32" s="3">
        <v>140846</v>
      </c>
      <c r="E32" s="3">
        <v>346915</v>
      </c>
    </row>
    <row r="33" spans="2:5" x14ac:dyDescent="0.45">
      <c r="B33" s="1" t="s">
        <v>83</v>
      </c>
      <c r="C33" s="3">
        <v>183550</v>
      </c>
      <c r="D33" s="3">
        <v>183550</v>
      </c>
      <c r="E33" s="3">
        <v>183550</v>
      </c>
    </row>
    <row r="34" spans="2:5" x14ac:dyDescent="0.45">
      <c r="B34" s="1"/>
      <c r="C34" s="3"/>
      <c r="D34" s="3"/>
      <c r="E34" s="3"/>
    </row>
    <row r="35" spans="2:5" x14ac:dyDescent="0.45">
      <c r="B35" s="1"/>
      <c r="C35" s="3"/>
      <c r="D35" s="3"/>
      <c r="E35" s="3"/>
    </row>
    <row r="36" spans="2:5" x14ac:dyDescent="0.45">
      <c r="B36" s="1" t="s">
        <v>84</v>
      </c>
      <c r="C36" s="5">
        <v>1.4093</v>
      </c>
      <c r="D36" s="5">
        <v>8.4000000000000005E-2</v>
      </c>
      <c r="E36" s="5">
        <v>0.14860000000000001</v>
      </c>
    </row>
    <row r="37" spans="2:5" x14ac:dyDescent="0.45">
      <c r="B37" s="1" t="s">
        <v>85</v>
      </c>
      <c r="C37" s="5">
        <v>0</v>
      </c>
      <c r="D37" s="5">
        <v>6.3194000000000008</v>
      </c>
      <c r="E37" s="5">
        <v>1.1825000000000001</v>
      </c>
    </row>
    <row r="38" spans="2:5" x14ac:dyDescent="0.45">
      <c r="B38" s="1" t="s">
        <v>86</v>
      </c>
      <c r="C38" s="5">
        <v>0</v>
      </c>
      <c r="D38" s="5">
        <v>0.69640000000000002</v>
      </c>
      <c r="E38" s="5">
        <v>3.7526999999999999</v>
      </c>
    </row>
    <row r="39" spans="2:5" x14ac:dyDescent="0.45">
      <c r="B39" s="1" t="s">
        <v>87</v>
      </c>
      <c r="C39" s="5">
        <v>0</v>
      </c>
      <c r="D39" s="5">
        <v>0</v>
      </c>
      <c r="E39" s="5">
        <v>5.3217999999999996</v>
      </c>
    </row>
    <row r="40" spans="2:5" x14ac:dyDescent="0.45">
      <c r="B40" s="1" t="s">
        <v>88</v>
      </c>
      <c r="C40" s="5">
        <v>0</v>
      </c>
      <c r="D40" s="5">
        <v>27.198899999999998</v>
      </c>
      <c r="E40" s="5">
        <v>1.7715000000000001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G40"/>
  <sheetViews>
    <sheetView workbookViewId="0">
      <selection activeCell="B12" sqref="B12:G12"/>
    </sheetView>
  </sheetViews>
  <sheetFormatPr defaultRowHeight="14.25" x14ac:dyDescent="0.45"/>
  <cols>
    <col min="2" max="2" width="28.73046875" customWidth="1"/>
  </cols>
  <sheetData>
    <row r="2" spans="2:7" x14ac:dyDescent="0.45">
      <c r="C2" s="4" t="s">
        <v>22</v>
      </c>
      <c r="D2" s="4" t="s">
        <v>23</v>
      </c>
      <c r="E2" s="4" t="s">
        <v>24</v>
      </c>
      <c r="F2" s="4" t="s">
        <v>25</v>
      </c>
      <c r="G2" s="4" t="s">
        <v>26</v>
      </c>
    </row>
    <row r="3" spans="2:7" x14ac:dyDescent="0.45">
      <c r="B3" s="1" t="s">
        <v>53</v>
      </c>
      <c r="C3" s="3">
        <v>617138</v>
      </c>
      <c r="D3" s="3">
        <v>665212</v>
      </c>
      <c r="E3" s="3">
        <v>739320</v>
      </c>
      <c r="F3" s="3">
        <v>1235230</v>
      </c>
      <c r="G3" s="3">
        <v>1280341</v>
      </c>
    </row>
    <row r="4" spans="2:7" x14ac:dyDescent="0.45">
      <c r="B4" s="1" t="s">
        <v>54</v>
      </c>
      <c r="C4" s="3">
        <v>20485</v>
      </c>
      <c r="D4" s="3">
        <v>16712</v>
      </c>
      <c r="E4" s="3">
        <v>18082</v>
      </c>
      <c r="F4" s="3">
        <v>22342</v>
      </c>
      <c r="G4" s="3">
        <v>22256</v>
      </c>
    </row>
    <row r="5" spans="2:7" x14ac:dyDescent="0.45">
      <c r="B5" s="1" t="s">
        <v>55</v>
      </c>
      <c r="C5" s="3">
        <v>13643</v>
      </c>
      <c r="D5" s="3">
        <v>18096</v>
      </c>
      <c r="E5" s="3">
        <v>16170</v>
      </c>
      <c r="F5" s="3">
        <v>20562</v>
      </c>
      <c r="G5" s="3">
        <v>24316</v>
      </c>
    </row>
    <row r="6" spans="2:7" x14ac:dyDescent="0.45">
      <c r="B6" s="1" t="s">
        <v>56</v>
      </c>
      <c r="C6" s="3">
        <v>42342</v>
      </c>
      <c r="D6" s="3">
        <v>45334</v>
      </c>
      <c r="E6" s="3">
        <v>50015</v>
      </c>
      <c r="F6" s="3">
        <v>49695</v>
      </c>
      <c r="G6" s="3">
        <v>64474</v>
      </c>
    </row>
    <row r="7" spans="2:7" x14ac:dyDescent="0.45">
      <c r="B7" s="1" t="s">
        <v>57</v>
      </c>
      <c r="C7" s="3">
        <v>693608</v>
      </c>
      <c r="D7" s="3">
        <v>745354</v>
      </c>
      <c r="E7" s="3">
        <v>823587</v>
      </c>
      <c r="F7" s="3">
        <v>1327829</v>
      </c>
      <c r="G7" s="3">
        <v>1391387</v>
      </c>
    </row>
    <row r="8" spans="2:7" x14ac:dyDescent="0.45">
      <c r="B8" s="1" t="s">
        <v>58</v>
      </c>
      <c r="C8" s="3">
        <v>98155</v>
      </c>
      <c r="D8" s="3">
        <v>110193</v>
      </c>
      <c r="E8" s="3">
        <v>122590</v>
      </c>
      <c r="F8" s="3">
        <v>151893</v>
      </c>
      <c r="G8" s="3">
        <v>198649</v>
      </c>
    </row>
    <row r="9" spans="2:7" x14ac:dyDescent="0.45">
      <c r="B9" s="1" t="s">
        <v>59</v>
      </c>
      <c r="C9" s="3">
        <v>1689</v>
      </c>
      <c r="D9" s="3">
        <v>1622</v>
      </c>
      <c r="E9" s="3">
        <v>1630</v>
      </c>
      <c r="F9" s="3">
        <v>1650</v>
      </c>
      <c r="G9" s="3">
        <v>1663</v>
      </c>
    </row>
    <row r="10" spans="2:7" x14ac:dyDescent="0.45">
      <c r="B10" s="1" t="s">
        <v>60</v>
      </c>
      <c r="C10" s="3">
        <v>27034</v>
      </c>
      <c r="D10" s="3">
        <v>46643</v>
      </c>
      <c r="E10" s="3">
        <v>50875</v>
      </c>
      <c r="F10" s="3">
        <v>61703</v>
      </c>
      <c r="G10" s="3">
        <v>80029</v>
      </c>
    </row>
    <row r="11" spans="2:7" x14ac:dyDescent="0.45">
      <c r="B11" s="1" t="s">
        <v>61</v>
      </c>
      <c r="C11" s="3">
        <v>126878</v>
      </c>
      <c r="D11" s="3">
        <v>158457</v>
      </c>
      <c r="E11" s="3">
        <v>175095</v>
      </c>
      <c r="F11" s="3">
        <v>215246</v>
      </c>
      <c r="G11" s="3">
        <v>280340</v>
      </c>
    </row>
    <row r="12" spans="2:7" x14ac:dyDescent="0.45">
      <c r="B12" s="1" t="s">
        <v>62</v>
      </c>
      <c r="C12" s="3">
        <f>C7+C11</f>
        <v>820486</v>
      </c>
      <c r="D12" s="3">
        <f>D7+D11</f>
        <v>903811</v>
      </c>
      <c r="E12" s="3">
        <f>E7+E11</f>
        <v>998682</v>
      </c>
      <c r="F12" s="3">
        <f>F7+F11</f>
        <v>1543075</v>
      </c>
      <c r="G12" s="3">
        <f>G7+G11</f>
        <v>1671727</v>
      </c>
    </row>
    <row r="13" spans="2:7" x14ac:dyDescent="0.45">
      <c r="B13" s="1" t="s">
        <v>63</v>
      </c>
      <c r="C13" s="3">
        <v>86041</v>
      </c>
      <c r="D13" s="3">
        <v>81815</v>
      </c>
      <c r="E13" s="3">
        <v>69946</v>
      </c>
      <c r="F13" s="3">
        <v>74409</v>
      </c>
      <c r="G13" s="3">
        <v>76650</v>
      </c>
    </row>
    <row r="14" spans="2:7" x14ac:dyDescent="0.45">
      <c r="B14" s="1" t="s">
        <v>64</v>
      </c>
      <c r="C14" s="3">
        <v>22708</v>
      </c>
      <c r="D14" s="3">
        <v>26779</v>
      </c>
      <c r="E14" s="3">
        <v>48730</v>
      </c>
      <c r="F14" s="3">
        <v>33696</v>
      </c>
      <c r="G14" s="3">
        <v>44383</v>
      </c>
    </row>
    <row r="15" spans="2:7" x14ac:dyDescent="0.45">
      <c r="B15" s="1" t="s">
        <v>65</v>
      </c>
      <c r="C15" s="3">
        <v>198532</v>
      </c>
      <c r="D15" s="3">
        <v>206273</v>
      </c>
      <c r="E15" s="3">
        <v>175776</v>
      </c>
      <c r="F15" s="3">
        <v>189848</v>
      </c>
      <c r="G15" s="3">
        <v>208521</v>
      </c>
    </row>
    <row r="16" spans="2:7" x14ac:dyDescent="0.45">
      <c r="B16" s="1" t="s">
        <v>66</v>
      </c>
      <c r="C16" s="3">
        <v>307281</v>
      </c>
      <c r="D16" s="3">
        <v>314867</v>
      </c>
      <c r="E16" s="3">
        <v>294451</v>
      </c>
      <c r="F16" s="3">
        <v>297953</v>
      </c>
      <c r="G16" s="3">
        <v>329554</v>
      </c>
    </row>
    <row r="17" spans="2:7" x14ac:dyDescent="0.45">
      <c r="B17" s="1" t="s">
        <v>67</v>
      </c>
      <c r="C17" s="3">
        <v>44200</v>
      </c>
      <c r="D17" s="3">
        <v>48316</v>
      </c>
      <c r="E17" s="3">
        <v>59777</v>
      </c>
      <c r="F17" s="3">
        <v>70798</v>
      </c>
      <c r="G17" s="3">
        <v>96251</v>
      </c>
    </row>
    <row r="18" spans="2:7" x14ac:dyDescent="0.45">
      <c r="B18" s="1" t="s">
        <v>68</v>
      </c>
      <c r="C18" s="3">
        <v>36821</v>
      </c>
      <c r="D18" s="3">
        <v>35256</v>
      </c>
      <c r="E18" s="3">
        <v>36752</v>
      </c>
      <c r="F18" s="3">
        <v>31607</v>
      </c>
      <c r="G18" s="3">
        <v>29236</v>
      </c>
    </row>
    <row r="19" spans="2:7" x14ac:dyDescent="0.45">
      <c r="B19" s="1" t="s">
        <v>69</v>
      </c>
      <c r="C19" s="3">
        <v>81021</v>
      </c>
      <c r="D19" s="3">
        <v>83573</v>
      </c>
      <c r="E19" s="3">
        <v>96529</v>
      </c>
      <c r="F19" s="3">
        <v>102405</v>
      </c>
      <c r="G19" s="3">
        <v>125487</v>
      </c>
    </row>
    <row r="20" spans="2:7" x14ac:dyDescent="0.45">
      <c r="B20" s="1" t="s">
        <v>70</v>
      </c>
      <c r="C20" s="3">
        <f>C16+C19</f>
        <v>388302</v>
      </c>
      <c r="D20" s="3">
        <f>D16+D19</f>
        <v>398440</v>
      </c>
      <c r="E20" s="3">
        <f>E16+E19</f>
        <v>390980</v>
      </c>
      <c r="F20" s="3">
        <f>F16+F19</f>
        <v>400358</v>
      </c>
      <c r="G20" s="3">
        <f>G16+G19</f>
        <v>455041</v>
      </c>
    </row>
    <row r="21" spans="2:7" x14ac:dyDescent="0.45">
      <c r="B21" s="1" t="s">
        <v>71</v>
      </c>
      <c r="C21" s="3">
        <v>12960</v>
      </c>
      <c r="D21" s="3">
        <v>12449</v>
      </c>
      <c r="E21" s="3">
        <v>12509</v>
      </c>
      <c r="F21" s="3">
        <v>659075</v>
      </c>
      <c r="G21" s="3">
        <v>679152</v>
      </c>
    </row>
    <row r="22" spans="2:7" x14ac:dyDescent="0.45">
      <c r="B22" s="1" t="s">
        <v>72</v>
      </c>
      <c r="C22" s="3">
        <v>306136</v>
      </c>
      <c r="D22" s="3">
        <v>377088</v>
      </c>
      <c r="E22" s="3">
        <v>470155</v>
      </c>
      <c r="F22" s="3">
        <v>485261</v>
      </c>
      <c r="G22" s="3">
        <v>544225</v>
      </c>
    </row>
    <row r="23" spans="2:7" x14ac:dyDescent="0.45">
      <c r="B23" s="1" t="s">
        <v>73</v>
      </c>
      <c r="C23" s="3">
        <v>99511</v>
      </c>
      <c r="D23" s="3">
        <v>102055</v>
      </c>
      <c r="E23" s="3">
        <v>104096</v>
      </c>
      <c r="F23" s="3">
        <v>-32073</v>
      </c>
      <c r="G23" s="3">
        <v>-34488</v>
      </c>
    </row>
    <row r="24" spans="2:7" x14ac:dyDescent="0.45">
      <c r="B24" s="1" t="s">
        <v>74</v>
      </c>
      <c r="C24" s="3">
        <v>418607</v>
      </c>
      <c r="D24" s="3">
        <v>491592</v>
      </c>
      <c r="E24" s="3">
        <v>586760</v>
      </c>
      <c r="F24" s="3">
        <v>1112263</v>
      </c>
      <c r="G24" s="3">
        <v>1188889</v>
      </c>
    </row>
    <row r="25" spans="2:7" x14ac:dyDescent="0.45">
      <c r="B25" s="1" t="s">
        <v>75</v>
      </c>
      <c r="C25" s="3">
        <v>13577</v>
      </c>
      <c r="D25" s="3">
        <v>13780</v>
      </c>
      <c r="E25" s="3">
        <v>20942</v>
      </c>
      <c r="F25" s="3">
        <v>30453</v>
      </c>
      <c r="G25" s="3">
        <v>27797</v>
      </c>
    </row>
    <row r="26" spans="2:7" x14ac:dyDescent="0.45">
      <c r="B26" s="1" t="s">
        <v>76</v>
      </c>
      <c r="C26" s="3">
        <f>C12+C20</f>
        <v>1208788</v>
      </c>
      <c r="D26" s="3">
        <f>D12+D20</f>
        <v>1302251</v>
      </c>
      <c r="E26" s="3">
        <f>E12+E20</f>
        <v>1389662</v>
      </c>
      <c r="F26" s="3">
        <f>F12+F20</f>
        <v>1943433</v>
      </c>
      <c r="G26" s="3">
        <f>G12+G20</f>
        <v>2126768</v>
      </c>
    </row>
    <row r="27" spans="2:7" x14ac:dyDescent="0.45">
      <c r="B27" s="1" t="s">
        <v>77</v>
      </c>
      <c r="C27" s="3">
        <v>287720</v>
      </c>
      <c r="D27" s="3">
        <v>363643</v>
      </c>
      <c r="E27" s="3">
        <v>586760</v>
      </c>
      <c r="F27" s="3">
        <v>1112263</v>
      </c>
      <c r="G27" s="3">
        <v>1188889</v>
      </c>
    </row>
    <row r="28" spans="2:7" x14ac:dyDescent="0.45">
      <c r="B28" s="1" t="s">
        <v>78</v>
      </c>
      <c r="C28" s="3">
        <v>66908</v>
      </c>
      <c r="D28" s="3">
        <v>75096</v>
      </c>
      <c r="E28" s="3">
        <v>108506</v>
      </c>
      <c r="F28" s="3">
        <v>104494</v>
      </c>
      <c r="G28" s="3">
        <v>140634</v>
      </c>
    </row>
    <row r="29" spans="2:7" x14ac:dyDescent="0.45">
      <c r="B29" s="1" t="s">
        <v>79</v>
      </c>
      <c r="C29" s="3">
        <v>-550230</v>
      </c>
      <c r="D29" s="3">
        <v>-590116</v>
      </c>
      <c r="E29" s="3">
        <v>-630814</v>
      </c>
      <c r="F29" s="3">
        <v>-1130735</v>
      </c>
      <c r="G29" s="3">
        <v>-1139707</v>
      </c>
    </row>
    <row r="30" spans="2:7" x14ac:dyDescent="0.45">
      <c r="B30" s="1" t="s">
        <v>80</v>
      </c>
      <c r="C30" s="3">
        <v>111798</v>
      </c>
      <c r="D30" s="3">
        <v>128289</v>
      </c>
      <c r="E30" s="3">
        <v>138760</v>
      </c>
      <c r="F30" s="3">
        <v>172455</v>
      </c>
      <c r="G30" s="3">
        <v>222965</v>
      </c>
    </row>
    <row r="31" spans="2:7" x14ac:dyDescent="0.45">
      <c r="B31" s="1" t="s">
        <v>81</v>
      </c>
      <c r="C31" s="3">
        <v>432184</v>
      </c>
      <c r="D31" s="3">
        <v>505372</v>
      </c>
      <c r="E31" s="3">
        <v>607702</v>
      </c>
      <c r="F31" s="3">
        <v>1142716</v>
      </c>
      <c r="G31" s="3">
        <v>1216687</v>
      </c>
    </row>
    <row r="32" spans="2:7" x14ac:dyDescent="0.45">
      <c r="B32" s="1" t="s">
        <v>82</v>
      </c>
      <c r="C32" s="3">
        <v>305306</v>
      </c>
      <c r="D32" s="3">
        <v>346915</v>
      </c>
      <c r="E32" s="3">
        <v>432607</v>
      </c>
      <c r="F32" s="3">
        <v>927470</v>
      </c>
      <c r="G32" s="3">
        <v>936346</v>
      </c>
    </row>
    <row r="33" spans="2:7" x14ac:dyDescent="0.45">
      <c r="B33" s="1" t="s">
        <v>83</v>
      </c>
      <c r="C33" s="3">
        <v>183550</v>
      </c>
      <c r="D33" s="3">
        <v>183550</v>
      </c>
      <c r="E33" s="3">
        <v>183550</v>
      </c>
      <c r="F33" s="3">
        <v>185752</v>
      </c>
      <c r="G33" s="3">
        <v>185752</v>
      </c>
    </row>
    <row r="34" spans="2:7" x14ac:dyDescent="0.45">
      <c r="B34" s="1"/>
      <c r="C34" s="3"/>
      <c r="D34" s="3"/>
      <c r="E34" s="3"/>
      <c r="F34" s="3"/>
      <c r="G34" s="3"/>
    </row>
    <row r="35" spans="2:7" x14ac:dyDescent="0.45">
      <c r="B35" s="1"/>
      <c r="C35" s="3"/>
      <c r="D35" s="3"/>
      <c r="E35" s="3"/>
      <c r="F35" s="3"/>
      <c r="G35" s="3"/>
    </row>
    <row r="36" spans="2:7" x14ac:dyDescent="0.45">
      <c r="B36" s="1" t="s">
        <v>84</v>
      </c>
      <c r="C36" s="5">
        <v>0.15479999999999999</v>
      </c>
      <c r="D36" s="5">
        <v>0.14860000000000001</v>
      </c>
      <c r="E36" s="5">
        <v>0.17860000000000001</v>
      </c>
      <c r="F36" s="5">
        <v>9.1400000000000009E-2</v>
      </c>
      <c r="G36" s="5">
        <v>0.11559999999999999</v>
      </c>
    </row>
    <row r="37" spans="2:7" x14ac:dyDescent="0.45">
      <c r="B37" s="1" t="s">
        <v>85</v>
      </c>
      <c r="C37" s="5">
        <v>0</v>
      </c>
      <c r="D37" s="5">
        <v>0.1016</v>
      </c>
      <c r="E37" s="5">
        <v>0.105</v>
      </c>
      <c r="F37" s="5">
        <v>0.54510000000000003</v>
      </c>
      <c r="G37" s="5">
        <v>8.3400000000000002E-2</v>
      </c>
    </row>
    <row r="38" spans="2:7" x14ac:dyDescent="0.45">
      <c r="B38" s="1" t="s">
        <v>86</v>
      </c>
      <c r="C38" s="5">
        <v>0</v>
      </c>
      <c r="D38" s="5">
        <v>0.14749999999999999</v>
      </c>
      <c r="E38" s="5">
        <v>8.1600000000000006E-2</v>
      </c>
      <c r="F38" s="5">
        <v>0.24279999999999999</v>
      </c>
      <c r="G38" s="5">
        <v>0.29289999999999999</v>
      </c>
    </row>
    <row r="39" spans="2:7" x14ac:dyDescent="0.45">
      <c r="B39" s="1" t="s">
        <v>87</v>
      </c>
      <c r="C39" s="5">
        <v>0</v>
      </c>
      <c r="D39" s="5">
        <v>0.26390000000000002</v>
      </c>
      <c r="E39" s="5">
        <v>0.61360000000000003</v>
      </c>
      <c r="F39" s="5">
        <v>0.89560000000000006</v>
      </c>
      <c r="G39" s="5">
        <v>6.8900000000000003E-2</v>
      </c>
    </row>
    <row r="40" spans="2:7" x14ac:dyDescent="0.45">
      <c r="B40" s="1" t="s">
        <v>88</v>
      </c>
      <c r="C40" s="5">
        <v>0</v>
      </c>
      <c r="D40" s="5">
        <v>0.16930000000000001</v>
      </c>
      <c r="E40" s="5">
        <v>0.20250000000000001</v>
      </c>
      <c r="F40" s="5">
        <v>0.88040000000000007</v>
      </c>
      <c r="G40" s="5">
        <v>6.4699999999999994E-2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Main</vt:lpstr>
      <vt:lpstr>Income Statement(a)</vt:lpstr>
      <vt:lpstr>Income Statement(q)</vt:lpstr>
      <vt:lpstr>Cash Flow(a)</vt:lpstr>
      <vt:lpstr>Cash Flow(q)</vt:lpstr>
      <vt:lpstr>Balance Sheet(a)</vt:lpstr>
      <vt:lpstr>Balance Sheet(q)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Laptop Hp</cp:lastModifiedBy>
  <dcterms:created xsi:type="dcterms:W3CDTF">2026-02-12T06:06:53Z</dcterms:created>
  <dcterms:modified xsi:type="dcterms:W3CDTF">2026-02-12T06:17:56Z</dcterms:modified>
</cp:coreProperties>
</file>