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Model\data\output\fa_models\"/>
    </mc:Choice>
  </mc:AlternateContent>
  <xr:revisionPtr revIDLastSave="0" documentId="13_ncr:1_{D6878C0C-5022-47AF-AAF4-3EDEBAD207DF}" xr6:coauthVersionLast="47" xr6:coauthVersionMax="47" xr10:uidLastSave="{00000000-0000-0000-0000-000000000000}"/>
  <bookViews>
    <workbookView xWindow="-98" yWindow="-98" windowWidth="21795" windowHeight="13695" activeTab="4" xr2:uid="{00000000-000D-0000-FFFF-FFFF00000000}"/>
  </bookViews>
  <sheets>
    <sheet name="Main" sheetId="1" r:id="rId1"/>
    <sheet name="Income Statement(a)" sheetId="2" r:id="rId2"/>
    <sheet name="Income Statement(q)" sheetId="3" r:id="rId3"/>
    <sheet name="Cash Flow(a)" sheetId="4" r:id="rId4"/>
    <sheet name="Cash Flow(q)" sheetId="5" r:id="rId5"/>
    <sheet name="Balance Sheet(a)" sheetId="6" r:id="rId6"/>
    <sheet name="Balance Sheet(q)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2" l="1"/>
  <c r="J8" i="2"/>
  <c r="K8" i="2"/>
  <c r="L8" i="2"/>
  <c r="M8" i="2"/>
  <c r="N8" i="2"/>
  <c r="O8" i="2"/>
  <c r="P8" i="2"/>
  <c r="Q8" i="2" s="1"/>
  <c r="H8" i="2"/>
  <c r="I5" i="2"/>
  <c r="J5" i="2"/>
  <c r="K5" i="2"/>
  <c r="L5" i="2"/>
  <c r="M5" i="2"/>
  <c r="N5" i="2"/>
  <c r="O5" i="2"/>
  <c r="P5" i="2"/>
  <c r="Q5" i="2" s="1"/>
  <c r="H5" i="2"/>
  <c r="H3" i="2"/>
  <c r="I3" i="2"/>
  <c r="J3" i="2"/>
  <c r="K3" i="2"/>
  <c r="L3" i="2"/>
  <c r="M3" i="2"/>
  <c r="N3" i="2"/>
  <c r="O3" i="2"/>
  <c r="P3" i="2" s="1"/>
  <c r="Q3" i="2" s="1"/>
  <c r="I2" i="2"/>
  <c r="J2" i="2"/>
  <c r="K2" i="2"/>
  <c r="L2" i="2"/>
  <c r="M2" i="2"/>
  <c r="N2" i="2"/>
  <c r="O2" i="2"/>
  <c r="P2" i="2"/>
  <c r="Q2" i="2" s="1"/>
  <c r="H22" i="2"/>
  <c r="G22" i="2"/>
  <c r="G23" i="2"/>
  <c r="G24" i="2"/>
  <c r="G25" i="2"/>
  <c r="G19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3" i="2"/>
  <c r="H2" i="2"/>
  <c r="G2" i="2"/>
  <c r="H22" i="3"/>
  <c r="H23" i="3"/>
  <c r="H24" i="3"/>
  <c r="H25" i="3"/>
  <c r="H18" i="3"/>
  <c r="H16" i="3"/>
  <c r="H14" i="3"/>
  <c r="H8" i="3"/>
  <c r="H9" i="3"/>
  <c r="H10" i="3" s="1"/>
  <c r="H13" i="3" s="1"/>
  <c r="H7" i="3"/>
  <c r="H6" i="3"/>
  <c r="H4" i="3"/>
  <c r="H5" i="3"/>
  <c r="H3" i="3"/>
  <c r="J9" i="1"/>
  <c r="G20" i="7"/>
  <c r="F20" i="7"/>
  <c r="E20" i="7"/>
  <c r="D20" i="7"/>
  <c r="C20" i="7"/>
  <c r="G12" i="7"/>
  <c r="G26" i="7" s="1"/>
  <c r="F12" i="7"/>
  <c r="F26" i="7" s="1"/>
  <c r="E12" i="7"/>
  <c r="E26" i="7" s="1"/>
  <c r="D12" i="7"/>
  <c r="D26" i="7" s="1"/>
  <c r="C12" i="7"/>
  <c r="C26" i="7" s="1"/>
  <c r="F20" i="6"/>
  <c r="E20" i="6"/>
  <c r="D20" i="6"/>
  <c r="C20" i="6"/>
  <c r="F12" i="6"/>
  <c r="F26" i="6" s="1"/>
  <c r="E12" i="6"/>
  <c r="E26" i="6" s="1"/>
  <c r="D12" i="6"/>
  <c r="D26" i="6" s="1"/>
  <c r="C12" i="6"/>
  <c r="C26" i="6" s="1"/>
  <c r="G25" i="5"/>
  <c r="F25" i="5"/>
  <c r="E25" i="5"/>
  <c r="D25" i="5"/>
  <c r="C25" i="5"/>
  <c r="F25" i="4"/>
  <c r="E25" i="4"/>
  <c r="D25" i="4"/>
  <c r="C25" i="4"/>
  <c r="G22" i="3"/>
  <c r="F22" i="3"/>
  <c r="E22" i="3"/>
  <c r="D22" i="3"/>
  <c r="G10" i="3"/>
  <c r="G24" i="3" s="1"/>
  <c r="G9" i="3"/>
  <c r="F9" i="3"/>
  <c r="E9" i="3"/>
  <c r="D9" i="3"/>
  <c r="C9" i="3"/>
  <c r="G5" i="3"/>
  <c r="G23" i="3" s="1"/>
  <c r="F5" i="3"/>
  <c r="F23" i="3" s="1"/>
  <c r="E5" i="3"/>
  <c r="E23" i="3" s="1"/>
  <c r="D5" i="3"/>
  <c r="D10" i="3" s="1"/>
  <c r="C5" i="3"/>
  <c r="C23" i="3" s="1"/>
  <c r="F23" i="2"/>
  <c r="E23" i="2"/>
  <c r="F22" i="2"/>
  <c r="E22" i="2"/>
  <c r="D22" i="2"/>
  <c r="F9" i="2"/>
  <c r="E9" i="2"/>
  <c r="D9" i="2"/>
  <c r="C9" i="2"/>
  <c r="F5" i="2"/>
  <c r="F10" i="2" s="1"/>
  <c r="E5" i="2"/>
  <c r="E10" i="2" s="1"/>
  <c r="D5" i="2"/>
  <c r="D10" i="2" s="1"/>
  <c r="C5" i="2"/>
  <c r="C10" i="2" s="1"/>
  <c r="J5" i="1"/>
  <c r="J8" i="1" s="1"/>
  <c r="H6" i="2" l="1"/>
  <c r="H7" i="2"/>
  <c r="H9" i="2"/>
  <c r="C24" i="2"/>
  <c r="C13" i="2"/>
  <c r="C16" i="2" s="1"/>
  <c r="C18" i="2" s="1"/>
  <c r="C25" i="2" s="1"/>
  <c r="D24" i="2"/>
  <c r="D13" i="2"/>
  <c r="D16" i="2" s="1"/>
  <c r="D18" i="2" s="1"/>
  <c r="D25" i="2" s="1"/>
  <c r="E13" i="2"/>
  <c r="E16" i="2" s="1"/>
  <c r="E18" i="2" s="1"/>
  <c r="E25" i="2" s="1"/>
  <c r="E24" i="2"/>
  <c r="F24" i="2"/>
  <c r="F13" i="2"/>
  <c r="F16" i="2" s="1"/>
  <c r="F18" i="2" s="1"/>
  <c r="F25" i="2" s="1"/>
  <c r="D13" i="3"/>
  <c r="D16" i="3" s="1"/>
  <c r="D18" i="3" s="1"/>
  <c r="D25" i="3" s="1"/>
  <c r="D24" i="3"/>
  <c r="G13" i="3"/>
  <c r="G16" i="3" s="1"/>
  <c r="G18" i="3" s="1"/>
  <c r="G25" i="3" s="1"/>
  <c r="D23" i="3"/>
  <c r="C23" i="2"/>
  <c r="D23" i="2"/>
  <c r="F10" i="3"/>
  <c r="C10" i="3"/>
  <c r="E10" i="3"/>
  <c r="I22" i="2" l="1"/>
  <c r="I6" i="2"/>
  <c r="I7" i="2"/>
  <c r="E24" i="3"/>
  <c r="E13" i="3"/>
  <c r="E16" i="3" s="1"/>
  <c r="E18" i="3" s="1"/>
  <c r="E25" i="3" s="1"/>
  <c r="C13" i="3"/>
  <c r="C16" i="3" s="1"/>
  <c r="C18" i="3" s="1"/>
  <c r="C25" i="3" s="1"/>
  <c r="C24" i="3"/>
  <c r="F24" i="3"/>
  <c r="F13" i="3"/>
  <c r="F16" i="3" s="1"/>
  <c r="F18" i="3" s="1"/>
  <c r="F25" i="3" s="1"/>
  <c r="H10" i="2"/>
  <c r="H23" i="2"/>
  <c r="H13" i="2" l="1"/>
  <c r="H14" i="2" s="1"/>
  <c r="J7" i="2"/>
  <c r="J22" i="2"/>
  <c r="J6" i="2"/>
  <c r="I23" i="2"/>
  <c r="I9" i="2"/>
  <c r="I10" i="2" s="1"/>
  <c r="H24" i="2"/>
  <c r="I13" i="2" l="1"/>
  <c r="I24" i="2"/>
  <c r="K7" i="2"/>
  <c r="K22" i="2"/>
  <c r="K6" i="2"/>
  <c r="J23" i="2"/>
  <c r="J9" i="2"/>
  <c r="J10" i="2" s="1"/>
  <c r="H16" i="2"/>
  <c r="J13" i="2" l="1"/>
  <c r="J24" i="2"/>
  <c r="K23" i="2"/>
  <c r="K9" i="2"/>
  <c r="K10" i="2" s="1"/>
  <c r="H18" i="2"/>
  <c r="L7" i="2"/>
  <c r="L22" i="2"/>
  <c r="L6" i="2"/>
  <c r="L23" i="2"/>
  <c r="I14" i="2"/>
  <c r="I16" i="2"/>
  <c r="K24" i="2" l="1"/>
  <c r="K13" i="2"/>
  <c r="I18" i="2"/>
  <c r="H25" i="2"/>
  <c r="L9" i="2"/>
  <c r="L10" i="2" s="1"/>
  <c r="M23" i="2"/>
  <c r="M6" i="2"/>
  <c r="M22" i="2"/>
  <c r="M7" i="2"/>
  <c r="J14" i="2"/>
  <c r="J16" i="2"/>
  <c r="L24" i="2" l="1"/>
  <c r="L13" i="2"/>
  <c r="I25" i="2"/>
  <c r="M9" i="2"/>
  <c r="M10" i="2" s="1"/>
  <c r="J18" i="2"/>
  <c r="J25" i="2" s="1"/>
  <c r="K14" i="2"/>
  <c r="K16" i="2"/>
  <c r="N6" i="2"/>
  <c r="N23" i="2"/>
  <c r="N7" i="2"/>
  <c r="O7" i="2" s="1"/>
  <c r="N22" i="2"/>
  <c r="K18" i="2" l="1"/>
  <c r="M24" i="2"/>
  <c r="M13" i="2"/>
  <c r="O6" i="2"/>
  <c r="O22" i="2"/>
  <c r="L14" i="2"/>
  <c r="L16" i="2" s="1"/>
  <c r="N9" i="2"/>
  <c r="N10" i="2" s="1"/>
  <c r="O9" i="2" l="1"/>
  <c r="O10" i="2" s="1"/>
  <c r="P6" i="2"/>
  <c r="P7" i="2"/>
  <c r="P22" i="2"/>
  <c r="O23" i="2"/>
  <c r="N24" i="2"/>
  <c r="N13" i="2"/>
  <c r="M14" i="2"/>
  <c r="M16" i="2" s="1"/>
  <c r="L18" i="2"/>
  <c r="L25" i="2" s="1"/>
  <c r="K25" i="2"/>
  <c r="O13" i="2" l="1"/>
  <c r="O14" i="2" s="1"/>
  <c r="O16" i="2" s="1"/>
  <c r="O24" i="2"/>
  <c r="M18" i="2"/>
  <c r="M25" i="2" s="1"/>
  <c r="P9" i="2"/>
  <c r="P10" i="2" s="1"/>
  <c r="N14" i="2"/>
  <c r="N16" i="2"/>
  <c r="P23" i="2"/>
  <c r="Q6" i="2"/>
  <c r="Q7" i="2"/>
  <c r="Q22" i="2"/>
  <c r="P24" i="2" l="1"/>
  <c r="P13" i="2"/>
  <c r="N18" i="2"/>
  <c r="N25" i="2" s="1"/>
  <c r="Q9" i="2"/>
  <c r="Q23" i="2"/>
  <c r="Q10" i="2"/>
  <c r="O18" i="2"/>
  <c r="O25" i="2" s="1"/>
  <c r="Q13" i="2" l="1"/>
  <c r="Q24" i="2"/>
  <c r="P14" i="2"/>
  <c r="P16" i="2" s="1"/>
  <c r="P18" i="2" l="1"/>
  <c r="P25" i="2" s="1"/>
  <c r="Q14" i="2"/>
  <c r="Q16" i="2" s="1"/>
  <c r="Q18" i="2" l="1"/>
  <c r="R18" i="2" s="1"/>
  <c r="S18" i="2" s="1"/>
  <c r="T18" i="2" s="1"/>
  <c r="U18" i="2" s="1"/>
  <c r="V18" i="2" s="1"/>
  <c r="W18" i="2" s="1"/>
  <c r="X18" i="2" s="1"/>
  <c r="Y18" i="2" s="1"/>
  <c r="Z18" i="2" s="1"/>
  <c r="AA18" i="2" s="1"/>
  <c r="AB18" i="2" s="1"/>
  <c r="AC18" i="2" s="1"/>
  <c r="AD18" i="2" s="1"/>
  <c r="AE18" i="2" s="1"/>
  <c r="AF18" i="2" s="1"/>
  <c r="AG18" i="2" s="1"/>
  <c r="AH18" i="2" s="1"/>
  <c r="AI18" i="2" s="1"/>
  <c r="AJ18" i="2" s="1"/>
  <c r="AK18" i="2" s="1"/>
  <c r="AL18" i="2" s="1"/>
  <c r="AM18" i="2" s="1"/>
  <c r="AN18" i="2" s="1"/>
  <c r="AO18" i="2" s="1"/>
  <c r="AP18" i="2" s="1"/>
  <c r="AQ18" i="2" s="1"/>
  <c r="AR18" i="2" s="1"/>
  <c r="AS18" i="2" s="1"/>
  <c r="AT18" i="2" s="1"/>
  <c r="AU18" i="2" s="1"/>
  <c r="AV18" i="2" s="1"/>
  <c r="AW18" i="2" s="1"/>
  <c r="AX18" i="2" s="1"/>
  <c r="AY18" i="2" s="1"/>
  <c r="AZ18" i="2" s="1"/>
  <c r="BA18" i="2" s="1"/>
  <c r="BB18" i="2" s="1"/>
  <c r="BC18" i="2" s="1"/>
  <c r="BD18" i="2" s="1"/>
  <c r="BE18" i="2" s="1"/>
  <c r="BF18" i="2" s="1"/>
  <c r="BG18" i="2" s="1"/>
  <c r="BH18" i="2" s="1"/>
  <c r="BI18" i="2" s="1"/>
  <c r="BJ18" i="2" s="1"/>
  <c r="BK18" i="2" s="1"/>
  <c r="BL18" i="2" s="1"/>
  <c r="BM18" i="2" s="1"/>
  <c r="BN18" i="2" s="1"/>
  <c r="BO18" i="2" s="1"/>
  <c r="BP18" i="2" s="1"/>
  <c r="BQ18" i="2" s="1"/>
  <c r="BR18" i="2" s="1"/>
  <c r="BS18" i="2" s="1"/>
  <c r="BT18" i="2" s="1"/>
  <c r="BU18" i="2" s="1"/>
  <c r="BV18" i="2" s="1"/>
  <c r="BW18" i="2" s="1"/>
  <c r="BX18" i="2" s="1"/>
  <c r="BY18" i="2" s="1"/>
  <c r="BZ18" i="2" s="1"/>
  <c r="CA18" i="2" s="1"/>
  <c r="CB18" i="2" s="1"/>
  <c r="CC18" i="2" s="1"/>
  <c r="CD18" i="2" s="1"/>
  <c r="CE18" i="2" s="1"/>
  <c r="CF18" i="2" s="1"/>
  <c r="CG18" i="2" s="1"/>
  <c r="CH18" i="2" s="1"/>
  <c r="CI18" i="2" s="1"/>
  <c r="CJ18" i="2" s="1"/>
  <c r="CK18" i="2" s="1"/>
  <c r="CL18" i="2" s="1"/>
  <c r="CM18" i="2" s="1"/>
  <c r="CN18" i="2" s="1"/>
  <c r="CO18" i="2" s="1"/>
  <c r="CP18" i="2" s="1"/>
  <c r="CQ18" i="2" s="1"/>
  <c r="CR18" i="2" s="1"/>
  <c r="CS18" i="2" s="1"/>
  <c r="CT18" i="2" s="1"/>
  <c r="CU18" i="2" s="1"/>
  <c r="CV18" i="2" s="1"/>
  <c r="CW18" i="2" s="1"/>
  <c r="CX18" i="2" s="1"/>
  <c r="CY18" i="2" s="1"/>
  <c r="CZ18" i="2" s="1"/>
  <c r="DA18" i="2" s="1"/>
  <c r="DB18" i="2" s="1"/>
  <c r="DC18" i="2" s="1"/>
  <c r="DD18" i="2" s="1"/>
  <c r="DE18" i="2" s="1"/>
  <c r="DF18" i="2" s="1"/>
  <c r="DG18" i="2" s="1"/>
  <c r="DH18" i="2" s="1"/>
  <c r="DI18" i="2" s="1"/>
  <c r="DJ18" i="2" s="1"/>
  <c r="DK18" i="2" s="1"/>
  <c r="DL18" i="2" s="1"/>
  <c r="DM18" i="2" s="1"/>
  <c r="DN18" i="2" s="1"/>
  <c r="DO18" i="2" s="1"/>
  <c r="DP18" i="2" s="1"/>
  <c r="DQ18" i="2" s="1"/>
  <c r="DR18" i="2" s="1"/>
  <c r="DS18" i="2" s="1"/>
  <c r="DT18" i="2" s="1"/>
  <c r="DU18" i="2" s="1"/>
  <c r="DV18" i="2" s="1"/>
  <c r="DW18" i="2" s="1"/>
  <c r="DX18" i="2" s="1"/>
  <c r="DY18" i="2" s="1"/>
  <c r="DZ18" i="2" s="1"/>
  <c r="EA18" i="2" s="1"/>
  <c r="EB18" i="2" s="1"/>
  <c r="EC18" i="2" s="1"/>
  <c r="ED18" i="2" s="1"/>
  <c r="EE18" i="2" s="1"/>
  <c r="EF18" i="2" s="1"/>
  <c r="EG18" i="2" s="1"/>
  <c r="EH18" i="2" s="1"/>
  <c r="EI18" i="2" s="1"/>
  <c r="EJ18" i="2" s="1"/>
  <c r="EK18" i="2" s="1"/>
  <c r="EL18" i="2" s="1"/>
  <c r="EM18" i="2" s="1"/>
  <c r="EN18" i="2" s="1"/>
  <c r="EO18" i="2" s="1"/>
  <c r="EP18" i="2" s="1"/>
  <c r="EQ18" i="2" s="1"/>
  <c r="ER18" i="2" s="1"/>
  <c r="ES18" i="2" s="1"/>
  <c r="ET18" i="2" s="1"/>
  <c r="EU18" i="2" s="1"/>
  <c r="EV18" i="2" s="1"/>
  <c r="EW18" i="2" s="1"/>
  <c r="EX18" i="2" s="1"/>
  <c r="EY18" i="2" s="1"/>
  <c r="EZ18" i="2" s="1"/>
  <c r="FA18" i="2" s="1"/>
  <c r="FB18" i="2" s="1"/>
  <c r="FC18" i="2" s="1"/>
  <c r="FD18" i="2" s="1"/>
  <c r="FE18" i="2" s="1"/>
  <c r="FF18" i="2" s="1"/>
  <c r="FG18" i="2" s="1"/>
  <c r="FH18" i="2" s="1"/>
  <c r="FI18" i="2" s="1"/>
  <c r="FJ18" i="2" s="1"/>
  <c r="FK18" i="2" s="1"/>
  <c r="FL18" i="2" s="1"/>
  <c r="FM18" i="2" s="1"/>
  <c r="FN18" i="2" s="1"/>
  <c r="FO18" i="2" s="1"/>
  <c r="FP18" i="2" s="1"/>
  <c r="FQ18" i="2" s="1"/>
  <c r="FR18" i="2" s="1"/>
  <c r="FS18" i="2" s="1"/>
  <c r="FT18" i="2" s="1"/>
  <c r="FU18" i="2" s="1"/>
  <c r="FV18" i="2" s="1"/>
  <c r="FW18" i="2" s="1"/>
  <c r="T24" i="2" s="1"/>
  <c r="T25" i="2" s="1"/>
  <c r="T26" i="2" s="1"/>
  <c r="Q25" i="2" l="1"/>
</calcChain>
</file>

<file path=xl/sharedStrings.xml><?xml version="1.0" encoding="utf-8"?>
<sst xmlns="http://schemas.openxmlformats.org/spreadsheetml/2006/main" count="196" uniqueCount="99">
  <si>
    <t>USD (in thousands)</t>
  </si>
  <si>
    <t>Revenue</t>
  </si>
  <si>
    <t>COGS</t>
  </si>
  <si>
    <t>Gross Profit</t>
  </si>
  <si>
    <t>SG&amp;A</t>
  </si>
  <si>
    <t>R&amp;D</t>
  </si>
  <si>
    <t>Others</t>
  </si>
  <si>
    <t>Operating Expense</t>
  </si>
  <si>
    <t>Operating Income</t>
  </si>
  <si>
    <t>Net Interest</t>
  </si>
  <si>
    <t>Other Income</t>
  </si>
  <si>
    <t>Pretax Income</t>
  </si>
  <si>
    <t>Taxes</t>
  </si>
  <si>
    <t>After-Tax Adj</t>
  </si>
  <si>
    <t>Net Income</t>
  </si>
  <si>
    <t>Other Stockholders</t>
  </si>
  <si>
    <t>NI Common</t>
  </si>
  <si>
    <t>Avg Shares</t>
  </si>
  <si>
    <t>Rev Growth</t>
  </si>
  <si>
    <t>Gross Margin</t>
  </si>
  <si>
    <t>Op Margin</t>
  </si>
  <si>
    <t>Net Margin</t>
  </si>
  <si>
    <t>FY24Q3</t>
  </si>
  <si>
    <t>FY24Q4</t>
  </si>
  <si>
    <t>FY25Q1</t>
  </si>
  <si>
    <t>FY25Q2</t>
  </si>
  <si>
    <t>FY25Q3</t>
  </si>
  <si>
    <t>D&amp;A</t>
  </si>
  <si>
    <t>Change In Working Capital</t>
  </si>
  <si>
    <t>Other Adj</t>
  </si>
  <si>
    <t>CFO</t>
  </si>
  <si>
    <t>Purchase Of Business</t>
  </si>
  <si>
    <t>Purchase Of Investment</t>
  </si>
  <si>
    <t>Sale Of Investment</t>
  </si>
  <si>
    <t>Other Investing</t>
  </si>
  <si>
    <t>CFI</t>
  </si>
  <si>
    <t>Repayment Of Debt</t>
  </si>
  <si>
    <t>Repurchase Of Capital Stock</t>
  </si>
  <si>
    <t>Cash Dividends Paid</t>
  </si>
  <si>
    <t>Common Stock Issuance</t>
  </si>
  <si>
    <t>Other Financing</t>
  </si>
  <si>
    <t>CFF</t>
  </si>
  <si>
    <t>Changes In Cash</t>
  </si>
  <si>
    <t>Supplementary Adj</t>
  </si>
  <si>
    <t>Beginning Cash Position</t>
  </si>
  <si>
    <t>End Cash Position</t>
  </si>
  <si>
    <t>OCF</t>
  </si>
  <si>
    <t>Cap Ex</t>
  </si>
  <si>
    <t>FCF</t>
  </si>
  <si>
    <t>CFGrowth</t>
  </si>
  <si>
    <t>CXChange</t>
  </si>
  <si>
    <t>FCFGrowth</t>
  </si>
  <si>
    <t>FCFMargin</t>
  </si>
  <si>
    <t>Cash &amp; Short Inv</t>
  </si>
  <si>
    <t>Accounts Receivable</t>
  </si>
  <si>
    <t>Inventory</t>
  </si>
  <si>
    <t>Other Current Assets</t>
  </si>
  <si>
    <t>Current Assets</t>
  </si>
  <si>
    <t>PPE</t>
  </si>
  <si>
    <t>Goodwill</t>
  </si>
  <si>
    <t>Other Assets</t>
  </si>
  <si>
    <t>Non-Current Assets</t>
  </si>
  <si>
    <t>Total Assets</t>
  </si>
  <si>
    <t>Accounts Payable</t>
  </si>
  <si>
    <t>Short Term Debt</t>
  </si>
  <si>
    <t>Other Current Liabilities</t>
  </si>
  <si>
    <t>Current Liabilities</t>
  </si>
  <si>
    <t>Long Term Debt</t>
  </si>
  <si>
    <t>Other Liabilities</t>
  </si>
  <si>
    <t>Non-Current Liabilities</t>
  </si>
  <si>
    <t>Total Liabilities</t>
  </si>
  <si>
    <t>Additional Paid In Capital</t>
  </si>
  <si>
    <t>Retained Earnings</t>
  </si>
  <si>
    <t>Accumulated Other Changes</t>
  </si>
  <si>
    <t>Stockholders Equity</t>
  </si>
  <si>
    <t>Non-Controlling Interest</t>
  </si>
  <si>
    <t>Total Equity</t>
  </si>
  <si>
    <t>Common Stock Equity</t>
  </si>
  <si>
    <t>Total Debt</t>
  </si>
  <si>
    <t>Net Debt</t>
  </si>
  <si>
    <t>Tangible Assets</t>
  </si>
  <si>
    <t>Invested Capital</t>
  </si>
  <si>
    <t>NCAV</t>
  </si>
  <si>
    <t>Shares</t>
  </si>
  <si>
    <t>D_E</t>
  </si>
  <si>
    <t>Assets Growth</t>
  </si>
  <si>
    <t>TAGrowth</t>
  </si>
  <si>
    <t>Equity Growth</t>
  </si>
  <si>
    <t>ICGrowth</t>
  </si>
  <si>
    <t>Price</t>
  </si>
  <si>
    <t>MC</t>
  </si>
  <si>
    <t>Cash</t>
  </si>
  <si>
    <t>Debt</t>
  </si>
  <si>
    <t>EV</t>
  </si>
  <si>
    <t>FY25Q4</t>
  </si>
  <si>
    <t>Mautrity</t>
  </si>
  <si>
    <t>Discount</t>
  </si>
  <si>
    <t>NPV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</si>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</sst>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4" fontId="0" fillId="0" borderId="0" xfId="0" applyNumberFormat="1"/>
    <xf numFmtId="3" fontId="0" fillId="0" borderId="0" xfId="0" applyNumberFormat="1"/>
    <xf numFmtId="9" fontId="0" fillId="0" borderId="0" xfId="0" applyNumberFormat="1" applyFont="1"/>
    <xf numFmtId="1" fontId="0" fillId="2" borderId="0" xfId="0" applyNumberFormat="1" applyFill="1" applyAlignment="1">
      <alignment horizontal="right"/>
    </xf>
    <xf numFmtId="1" fontId="0" fillId="3" borderId="0" xfId="0" applyNumberFormat="1" applyFill="1"/>
    <xf numFmtId="1" fontId="0" fillId="2" borderId="0" xfId="0" applyNumberFormat="1" applyFill="1"/>
    <xf numFmtId="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9"/>
  <sheetViews>
    <sheetView workbookViewId="0">
      <selection activeCell="J9" sqref="J9"/>
    </sheetView>
  </sheetViews>
  <sheetFormatPr defaultRowHeight="14.25" x14ac:dyDescent="0.45"/>
  <cols>
    <col min="2" max="2" width="12.73046875" customWidth="1"/>
    <col min="9" max="9" width="8.73046875" customWidth="1"/>
  </cols>
  <sheetData>
    <row r="3" spans="2:10" x14ac:dyDescent="0.45">
      <c r="B3" s="1" t="s">
        <v>0</v>
      </c>
      <c r="I3" s="1" t="s">
        <v>89</v>
      </c>
      <c r="J3" s="2">
        <v>2.9</v>
      </c>
    </row>
    <row r="4" spans="2:10" x14ac:dyDescent="0.45">
      <c r="I4" s="1" t="s">
        <v>83</v>
      </c>
      <c r="J4" s="3">
        <v>158948.68965517241</v>
      </c>
    </row>
    <row r="5" spans="2:10" x14ac:dyDescent="0.45">
      <c r="I5" s="1" t="s">
        <v>90</v>
      </c>
      <c r="J5" s="3">
        <f>J3*J4</f>
        <v>460951.19999999995</v>
      </c>
    </row>
    <row r="6" spans="2:10" x14ac:dyDescent="0.45">
      <c r="I6" s="1" t="s">
        <v>91</v>
      </c>
      <c r="J6" s="3">
        <v>307883</v>
      </c>
    </row>
    <row r="7" spans="2:10" x14ac:dyDescent="0.45">
      <c r="I7" s="1" t="s">
        <v>92</v>
      </c>
      <c r="J7" s="3">
        <v>600076</v>
      </c>
    </row>
    <row r="8" spans="2:10" x14ac:dyDescent="0.45">
      <c r="I8" s="1" t="s">
        <v>93</v>
      </c>
      <c r="J8" s="3">
        <f>J5+J7-J6</f>
        <v>753144.2</v>
      </c>
    </row>
    <row r="9" spans="2:10" x14ac:dyDescent="0.45">
      <c r="J9" s="6">
        <f>J8/'Income Statement(a)'!F10</f>
        <v>3.9272487407052048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W26"/>
  <sheetViews>
    <sheetView topLeftCell="B1" workbookViewId="0">
      <selection activeCell="G11" sqref="G11"/>
    </sheetView>
  </sheetViews>
  <sheetFormatPr defaultRowHeight="14.25" x14ac:dyDescent="0.45"/>
  <cols>
    <col min="2" max="2" width="20.73046875" customWidth="1"/>
  </cols>
  <sheetData>
    <row r="1" spans="2:17" x14ac:dyDescent="0.45">
      <c r="C1" s="12"/>
      <c r="D1" s="12"/>
      <c r="E1" s="12"/>
      <c r="F1" s="12"/>
      <c r="G1" s="12"/>
    </row>
    <row r="2" spans="2:17" x14ac:dyDescent="0.45">
      <c r="C2" s="4">
        <v>2021</v>
      </c>
      <c r="D2" s="4">
        <v>2022</v>
      </c>
      <c r="E2" s="4">
        <v>2023</v>
      </c>
      <c r="F2" s="4">
        <v>2024</v>
      </c>
      <c r="G2" s="10">
        <f>F2+1</f>
        <v>2025</v>
      </c>
      <c r="H2" s="11">
        <f>G2+1</f>
        <v>2026</v>
      </c>
      <c r="I2" s="11">
        <f t="shared" ref="I2:Q2" si="0">H2+1</f>
        <v>2027</v>
      </c>
      <c r="J2" s="11">
        <f t="shared" si="0"/>
        <v>2028</v>
      </c>
      <c r="K2" s="11">
        <f t="shared" si="0"/>
        <v>2029</v>
      </c>
      <c r="L2" s="11">
        <f t="shared" si="0"/>
        <v>2030</v>
      </c>
      <c r="M2" s="11">
        <f t="shared" si="0"/>
        <v>2031</v>
      </c>
      <c r="N2" s="11">
        <f t="shared" si="0"/>
        <v>2032</v>
      </c>
      <c r="O2" s="11">
        <f t="shared" si="0"/>
        <v>2033</v>
      </c>
      <c r="P2" s="11">
        <f t="shared" si="0"/>
        <v>2034</v>
      </c>
      <c r="Q2" s="11">
        <f t="shared" si="0"/>
        <v>2035</v>
      </c>
    </row>
    <row r="3" spans="2:17" x14ac:dyDescent="0.45">
      <c r="B3" s="1" t="s">
        <v>1</v>
      </c>
      <c r="C3" s="3">
        <v>760910</v>
      </c>
      <c r="D3" s="3">
        <v>903503</v>
      </c>
      <c r="E3" s="3">
        <v>1051830</v>
      </c>
      <c r="F3" s="3">
        <v>1071643</v>
      </c>
      <c r="G3" s="7">
        <f>SUM('Income Statement(q)'!E3:H3)</f>
        <v>987656</v>
      </c>
      <c r="H3" s="3">
        <f>G3*0.97</f>
        <v>958026.32</v>
      </c>
      <c r="I3" s="3">
        <f t="shared" ref="I3:Q3" si="1">H3*0.97</f>
        <v>929285.53039999993</v>
      </c>
      <c r="J3" s="3">
        <f t="shared" si="1"/>
        <v>901406.96448799991</v>
      </c>
      <c r="K3" s="3">
        <f t="shared" si="1"/>
        <v>874364.75555335986</v>
      </c>
      <c r="L3" s="3">
        <f t="shared" si="1"/>
        <v>848133.81288675906</v>
      </c>
      <c r="M3" s="3">
        <f t="shared" si="1"/>
        <v>822689.79850015626</v>
      </c>
      <c r="N3" s="3">
        <f t="shared" si="1"/>
        <v>798009.10454515158</v>
      </c>
      <c r="O3" s="3">
        <f t="shared" si="1"/>
        <v>774068.83140879706</v>
      </c>
      <c r="P3" s="3">
        <f t="shared" si="1"/>
        <v>750846.76646653318</v>
      </c>
      <c r="Q3" s="3">
        <f t="shared" si="1"/>
        <v>728321.36347253714</v>
      </c>
    </row>
    <row r="4" spans="2:17" x14ac:dyDescent="0.45">
      <c r="B4" s="1" t="s">
        <v>2</v>
      </c>
      <c r="C4" s="3">
        <v>-205573</v>
      </c>
      <c r="D4" s="3">
        <v>-249490</v>
      </c>
      <c r="E4" s="3">
        <v>-307835</v>
      </c>
      <c r="F4" s="3">
        <v>-318835</v>
      </c>
      <c r="G4" s="7">
        <f>SUM('Income Statement(q)'!E4:H4)</f>
        <v>-288297.27</v>
      </c>
      <c r="H4" s="3">
        <v>-318835</v>
      </c>
      <c r="I4" s="3">
        <v>-318835</v>
      </c>
      <c r="J4" s="3">
        <v>-318835</v>
      </c>
      <c r="K4" s="3">
        <v>-318835</v>
      </c>
      <c r="L4" s="3">
        <v>-318835</v>
      </c>
      <c r="M4" s="3">
        <v>-318835</v>
      </c>
      <c r="N4" s="3">
        <v>-318835</v>
      </c>
      <c r="O4" s="3">
        <v>-318835</v>
      </c>
      <c r="P4" s="3">
        <v>-318835</v>
      </c>
      <c r="Q4" s="3">
        <v>-318835</v>
      </c>
    </row>
    <row r="5" spans="2:17" x14ac:dyDescent="0.45">
      <c r="B5" s="1" t="s">
        <v>3</v>
      </c>
      <c r="C5" s="3">
        <f>C3+C4</f>
        <v>555337</v>
      </c>
      <c r="D5" s="3">
        <f>D3+D4</f>
        <v>654013</v>
      </c>
      <c r="E5" s="3">
        <f>E3+E4</f>
        <v>743995</v>
      </c>
      <c r="F5" s="3">
        <f>F3+F4</f>
        <v>752808</v>
      </c>
      <c r="G5" s="7">
        <f>SUM('Income Statement(q)'!E5:H5)</f>
        <v>699358.73</v>
      </c>
      <c r="H5" s="3">
        <f>H3*(G5/G3+0.0005)</f>
        <v>678856.98125999991</v>
      </c>
      <c r="I5" s="3">
        <f t="shared" ref="I5:Q5" si="2">I3*(H5/H3+0.0005)</f>
        <v>658955.91458739981</v>
      </c>
      <c r="J5" s="3">
        <f t="shared" si="2"/>
        <v>639637.94063202175</v>
      </c>
      <c r="K5" s="3">
        <f t="shared" si="2"/>
        <v>620885.98479083774</v>
      </c>
      <c r="L5" s="3">
        <f t="shared" si="2"/>
        <v>602683.47215355595</v>
      </c>
      <c r="M5" s="3">
        <f t="shared" si="2"/>
        <v>585014.31288819923</v>
      </c>
      <c r="N5" s="3">
        <f t="shared" si="2"/>
        <v>567862.88805382582</v>
      </c>
      <c r="O5" s="3">
        <f t="shared" si="2"/>
        <v>551214.03582791542</v>
      </c>
      <c r="P5" s="3">
        <f t="shared" si="2"/>
        <v>535053.03813631122</v>
      </c>
      <c r="Q5" s="3">
        <f t="shared" si="2"/>
        <v>519365.60767395806</v>
      </c>
    </row>
    <row r="6" spans="2:17" x14ac:dyDescent="0.45">
      <c r="B6" s="1" t="s">
        <v>4</v>
      </c>
      <c r="C6" s="3">
        <v>-469200</v>
      </c>
      <c r="D6" s="3">
        <v>-412736</v>
      </c>
      <c r="E6" s="3">
        <v>-492029</v>
      </c>
      <c r="F6" s="3">
        <v>-389693</v>
      </c>
      <c r="G6" s="7">
        <f>SUM('Income Statement(q)'!E6:H6)</f>
        <v>-307418.16000000003</v>
      </c>
      <c r="H6" s="3">
        <f>H3*(G6/G3+0.0001)</f>
        <v>-298099.81256800005</v>
      </c>
      <c r="I6" s="3">
        <f t="shared" ref="I6:Q6" si="3">I3*(H6/H3+0.0001)</f>
        <v>-289063.88963792007</v>
      </c>
      <c r="J6" s="3">
        <f t="shared" si="3"/>
        <v>-280301.83225233364</v>
      </c>
      <c r="K6" s="3">
        <f t="shared" si="3"/>
        <v>-271805.34080920828</v>
      </c>
      <c r="L6" s="3">
        <f t="shared" si="3"/>
        <v>-263566.36720364337</v>
      </c>
      <c r="M6" s="3">
        <f t="shared" si="3"/>
        <v>-255577.10720768408</v>
      </c>
      <c r="N6" s="3">
        <f t="shared" si="3"/>
        <v>-247829.99308099903</v>
      </c>
      <c r="O6" s="3">
        <f t="shared" si="3"/>
        <v>-240317.68640542822</v>
      </c>
      <c r="P6" s="3">
        <f t="shared" si="3"/>
        <v>-233033.07113661873</v>
      </c>
      <c r="Q6" s="3">
        <f t="shared" si="3"/>
        <v>-225969.24686617291</v>
      </c>
    </row>
    <row r="7" spans="2:17" x14ac:dyDescent="0.45">
      <c r="B7" s="1" t="s">
        <v>5</v>
      </c>
      <c r="C7" s="3">
        <v>-113764</v>
      </c>
      <c r="D7" s="3">
        <v>-109020</v>
      </c>
      <c r="E7" s="3">
        <v>-130565</v>
      </c>
      <c r="F7" s="3">
        <v>-100725</v>
      </c>
      <c r="G7" s="7">
        <f>SUM('Income Statement(q)'!E7:H7)</f>
        <v>-126167.56</v>
      </c>
      <c r="H7" s="3">
        <f>H3*(G7/G3+0.0005)</f>
        <v>-121903.52003999999</v>
      </c>
      <c r="I7" s="3">
        <f t="shared" ref="I7:Q7" si="4">I3*(H7/H3+0.0005)</f>
        <v>-117781.7716736</v>
      </c>
      <c r="J7" s="3">
        <f t="shared" si="4"/>
        <v>-113797.61504114799</v>
      </c>
      <c r="K7" s="3">
        <f t="shared" si="4"/>
        <v>-109946.50421213686</v>
      </c>
      <c r="L7" s="3">
        <f t="shared" si="4"/>
        <v>-106224.04217932938</v>
      </c>
      <c r="M7" s="3">
        <f t="shared" si="4"/>
        <v>-102625.97601469941</v>
      </c>
      <c r="N7" s="3">
        <f t="shared" si="4"/>
        <v>-99148.192181985854</v>
      </c>
      <c r="O7" s="3">
        <f t="shared" si="4"/>
        <v>-95786.712000821892</v>
      </c>
      <c r="P7" s="3">
        <f t="shared" si="4"/>
        <v>-92537.687257563972</v>
      </c>
      <c r="Q7" s="3">
        <f t="shared" si="4"/>
        <v>-89397.39595810078</v>
      </c>
    </row>
    <row r="8" spans="2:17" x14ac:dyDescent="0.45">
      <c r="B8" s="1" t="s">
        <v>6</v>
      </c>
      <c r="C8" s="3">
        <v>-107056</v>
      </c>
      <c r="D8" s="3">
        <v>-89713</v>
      </c>
      <c r="E8" s="3">
        <v>-68028</v>
      </c>
      <c r="F8" s="3">
        <v>-70616</v>
      </c>
      <c r="G8" s="7">
        <f>SUM('Income Statement(q)'!E8:H8)</f>
        <v>-28242.89</v>
      </c>
      <c r="H8" s="3">
        <f>H3*(G8/G3+0.0005)</f>
        <v>-26916.590139999997</v>
      </c>
      <c r="I8" s="3">
        <f t="shared" ref="I8:Q8" si="5">I3*(H8/H3+0.0005)</f>
        <v>-25644.449670599999</v>
      </c>
      <c r="J8" s="3">
        <f t="shared" si="5"/>
        <v>-24424.412698238</v>
      </c>
      <c r="K8" s="3">
        <f t="shared" si="5"/>
        <v>-23254.497939514178</v>
      </c>
      <c r="L8" s="3">
        <f t="shared" si="5"/>
        <v>-22132.796094885372</v>
      </c>
      <c r="M8" s="3">
        <f t="shared" si="5"/>
        <v>-21057.467312788733</v>
      </c>
      <c r="N8" s="3">
        <f t="shared" si="5"/>
        <v>-20026.738741132493</v>
      </c>
      <c r="O8" s="3">
        <f t="shared" si="5"/>
        <v>-19038.902163194118</v>
      </c>
      <c r="P8" s="3">
        <f t="shared" si="5"/>
        <v>-18092.311715065029</v>
      </c>
      <c r="Q8" s="3">
        <f t="shared" si="5"/>
        <v>-17185.381681876806</v>
      </c>
    </row>
    <row r="9" spans="2:17" x14ac:dyDescent="0.45">
      <c r="B9" s="1" t="s">
        <v>7</v>
      </c>
      <c r="C9" s="3">
        <f>C6+C7+C8</f>
        <v>-690020</v>
      </c>
      <c r="D9" s="3">
        <f>D6+D7+D8</f>
        <v>-611469</v>
      </c>
      <c r="E9" s="3">
        <f>E6+E7+E8</f>
        <v>-690622</v>
      </c>
      <c r="F9" s="3">
        <f>F6+F7+F8</f>
        <v>-561034</v>
      </c>
      <c r="G9" s="7">
        <f>SUM('Income Statement(q)'!E9:H9)</f>
        <v>-461828.61</v>
      </c>
      <c r="H9" s="3">
        <f>H6+H7+H8</f>
        <v>-446919.92274800001</v>
      </c>
      <c r="I9" s="3">
        <f t="shared" ref="I9:Q9" si="6">I6+I7+I8</f>
        <v>-432490.1109821201</v>
      </c>
      <c r="J9" s="3">
        <f t="shared" si="6"/>
        <v>-418523.8599917196</v>
      </c>
      <c r="K9" s="3">
        <f t="shared" si="6"/>
        <v>-405006.3429608593</v>
      </c>
      <c r="L9" s="3">
        <f t="shared" si="6"/>
        <v>-391923.20547785814</v>
      </c>
      <c r="M9" s="3">
        <f t="shared" si="6"/>
        <v>-379260.55053517222</v>
      </c>
      <c r="N9" s="3">
        <f t="shared" si="6"/>
        <v>-367004.92400411738</v>
      </c>
      <c r="O9" s="3">
        <f t="shared" si="6"/>
        <v>-355143.30056944425</v>
      </c>
      <c r="P9" s="3">
        <f t="shared" si="6"/>
        <v>-343663.07010924775</v>
      </c>
      <c r="Q9" s="3">
        <f t="shared" si="6"/>
        <v>-332552.02450615045</v>
      </c>
    </row>
    <row r="10" spans="2:17" x14ac:dyDescent="0.45">
      <c r="B10" s="1" t="s">
        <v>8</v>
      </c>
      <c r="C10" s="3">
        <f>C5+C9</f>
        <v>-134683</v>
      </c>
      <c r="D10" s="3">
        <f>D5+D9</f>
        <v>42544</v>
      </c>
      <c r="E10" s="3">
        <f>E5+E9</f>
        <v>53373</v>
      </c>
      <c r="F10" s="3">
        <f>F5+F9</f>
        <v>191774</v>
      </c>
      <c r="G10" s="7">
        <f>SUM('Income Statement(q)'!E10:H10)</f>
        <v>237530.12</v>
      </c>
      <c r="H10" s="3">
        <f>H5+H9</f>
        <v>231937.0585119999</v>
      </c>
      <c r="I10" s="3">
        <f t="shared" ref="I10:Q10" si="7">I5+I9</f>
        <v>226465.80360527971</v>
      </c>
      <c r="J10" s="3">
        <f t="shared" si="7"/>
        <v>221114.08064030216</v>
      </c>
      <c r="K10" s="3">
        <f t="shared" si="7"/>
        <v>215879.64182997844</v>
      </c>
      <c r="L10" s="3">
        <f t="shared" si="7"/>
        <v>210760.26667569781</v>
      </c>
      <c r="M10" s="3">
        <f t="shared" si="7"/>
        <v>205753.76235302701</v>
      </c>
      <c r="N10" s="3">
        <f t="shared" si="7"/>
        <v>200857.96404970845</v>
      </c>
      <c r="O10" s="3">
        <f t="shared" si="7"/>
        <v>196070.73525847116</v>
      </c>
      <c r="P10" s="3">
        <f t="shared" si="7"/>
        <v>191389.96802706347</v>
      </c>
      <c r="Q10" s="3">
        <f t="shared" si="7"/>
        <v>186813.58316780761</v>
      </c>
    </row>
    <row r="11" spans="2:17" x14ac:dyDescent="0.45">
      <c r="B11" s="1" t="s">
        <v>9</v>
      </c>
      <c r="C11" s="3">
        <v>-24574</v>
      </c>
      <c r="D11" s="3">
        <v>-24063</v>
      </c>
      <c r="E11" s="3">
        <v>-21534</v>
      </c>
      <c r="F11" s="3">
        <v>-39945</v>
      </c>
      <c r="G11" s="7">
        <f>SUM('Income Statement(q)'!E11:H11)</f>
        <v>-32949</v>
      </c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17" x14ac:dyDescent="0.45">
      <c r="B12" s="1" t="s">
        <v>10</v>
      </c>
      <c r="C12" s="3">
        <v>3160</v>
      </c>
      <c r="D12" s="3">
        <v>-129199</v>
      </c>
      <c r="E12" s="3">
        <v>-26537</v>
      </c>
      <c r="F12" s="3">
        <v>-897075</v>
      </c>
      <c r="G12" s="7">
        <f>SUM('Income Statement(q)'!E12:H12)</f>
        <v>-419032</v>
      </c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17" x14ac:dyDescent="0.45">
      <c r="B13" s="1" t="s">
        <v>11</v>
      </c>
      <c r="C13" s="3">
        <f>C10+C11+C12</f>
        <v>-156097</v>
      </c>
      <c r="D13" s="3">
        <f>D10+D11+D12</f>
        <v>-110718</v>
      </c>
      <c r="E13" s="3">
        <f>E10+E11+E12</f>
        <v>5302</v>
      </c>
      <c r="F13" s="3">
        <f>F10+F11+F12</f>
        <v>-745246</v>
      </c>
      <c r="G13" s="7">
        <f>SUM('Income Statement(q)'!E13:H13)</f>
        <v>-214450.88</v>
      </c>
      <c r="H13" s="3">
        <f>H10+H11+H12</f>
        <v>231937.0585119999</v>
      </c>
      <c r="I13" s="3">
        <f t="shared" ref="I13:Q13" si="8">I10+I11+I12</f>
        <v>226465.80360527971</v>
      </c>
      <c r="J13" s="3">
        <f t="shared" si="8"/>
        <v>221114.08064030216</v>
      </c>
      <c r="K13" s="3">
        <f t="shared" si="8"/>
        <v>215879.64182997844</v>
      </c>
      <c r="L13" s="3">
        <f t="shared" si="8"/>
        <v>210760.26667569781</v>
      </c>
      <c r="M13" s="3">
        <f t="shared" si="8"/>
        <v>205753.76235302701</v>
      </c>
      <c r="N13" s="3">
        <f t="shared" si="8"/>
        <v>200857.96404970845</v>
      </c>
      <c r="O13" s="3">
        <f t="shared" si="8"/>
        <v>196070.73525847116</v>
      </c>
      <c r="P13" s="3">
        <f t="shared" si="8"/>
        <v>191389.96802706347</v>
      </c>
      <c r="Q13" s="3">
        <f t="shared" si="8"/>
        <v>186813.58316780761</v>
      </c>
    </row>
    <row r="14" spans="2:17" x14ac:dyDescent="0.45">
      <c r="B14" s="1" t="s">
        <v>12</v>
      </c>
      <c r="C14" s="3">
        <v>437837</v>
      </c>
      <c r="D14" s="3">
        <v>-3406</v>
      </c>
      <c r="E14" s="3">
        <v>-7170</v>
      </c>
      <c r="F14" s="3">
        <v>-23128</v>
      </c>
      <c r="G14" s="7">
        <f>SUM('Income Statement(q)'!E14:H14)</f>
        <v>-33792.823999999993</v>
      </c>
      <c r="H14" s="3">
        <f>H13*-0.2</f>
        <v>-46387.411702399986</v>
      </c>
      <c r="I14" s="3">
        <f t="shared" ref="I14:Q14" si="9">I13*-0.2</f>
        <v>-45293.160721055945</v>
      </c>
      <c r="J14" s="3">
        <f t="shared" si="9"/>
        <v>-44222.816128060433</v>
      </c>
      <c r="K14" s="3">
        <f t="shared" si="9"/>
        <v>-43175.928365995693</v>
      </c>
      <c r="L14" s="3">
        <f t="shared" si="9"/>
        <v>-42152.053335139564</v>
      </c>
      <c r="M14" s="3">
        <f t="shared" si="9"/>
        <v>-41150.752470605403</v>
      </c>
      <c r="N14" s="3">
        <f t="shared" si="9"/>
        <v>-40171.592809941692</v>
      </c>
      <c r="O14" s="3">
        <f t="shared" si="9"/>
        <v>-39214.147051694235</v>
      </c>
      <c r="P14" s="3">
        <f t="shared" si="9"/>
        <v>-38277.993605412696</v>
      </c>
      <c r="Q14" s="3">
        <f t="shared" si="9"/>
        <v>-37362.716633561526</v>
      </c>
    </row>
    <row r="15" spans="2:17" x14ac:dyDescent="0.45">
      <c r="B15" s="1" t="s">
        <v>13</v>
      </c>
      <c r="C15" s="3">
        <v>28075</v>
      </c>
      <c r="D15" s="3">
        <v>34378</v>
      </c>
      <c r="E15" s="3">
        <v>-2345</v>
      </c>
      <c r="F15" s="3">
        <v>211366</v>
      </c>
      <c r="G15" s="7">
        <f>SUM('Income Statement(q)'!E15:H15)</f>
        <v>92545</v>
      </c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17" x14ac:dyDescent="0.45">
      <c r="B16" s="1" t="s">
        <v>14</v>
      </c>
      <c r="C16" s="3">
        <f>C13+C14+C15</f>
        <v>309815</v>
      </c>
      <c r="D16" s="3">
        <f>D13+D14+D15</f>
        <v>-79746</v>
      </c>
      <c r="E16" s="3">
        <f>E13+E14+E15</f>
        <v>-4213</v>
      </c>
      <c r="F16" s="3">
        <f>F13+F14+F15</f>
        <v>-557008</v>
      </c>
      <c r="G16" s="7">
        <f>SUM('Income Statement(q)'!E16:H16)</f>
        <v>-155698.70400000003</v>
      </c>
      <c r="H16" s="3">
        <f>H13+H14+H15</f>
        <v>185549.64680959992</v>
      </c>
      <c r="I16" s="3">
        <f t="shared" ref="I16:Q16" si="10">I13+I14+I15</f>
        <v>181172.64288422378</v>
      </c>
      <c r="J16" s="3">
        <f t="shared" si="10"/>
        <v>176891.26451224173</v>
      </c>
      <c r="K16" s="3">
        <f t="shared" si="10"/>
        <v>172703.71346398274</v>
      </c>
      <c r="L16" s="3">
        <f t="shared" si="10"/>
        <v>168608.21334055826</v>
      </c>
      <c r="M16" s="3">
        <f t="shared" si="10"/>
        <v>164603.00988242161</v>
      </c>
      <c r="N16" s="3">
        <f t="shared" si="10"/>
        <v>160686.37123976677</v>
      </c>
      <c r="O16" s="3">
        <f t="shared" si="10"/>
        <v>156856.58820677694</v>
      </c>
      <c r="P16" s="3">
        <f t="shared" si="10"/>
        <v>153111.97442165078</v>
      </c>
      <c r="Q16" s="3">
        <f t="shared" si="10"/>
        <v>149450.86653424607</v>
      </c>
    </row>
    <row r="17" spans="2:179" x14ac:dyDescent="0.45">
      <c r="B17" s="1" t="s">
        <v>15</v>
      </c>
      <c r="C17" s="3">
        <v>-128176</v>
      </c>
      <c r="D17" s="3">
        <v>55</v>
      </c>
      <c r="E17" s="3">
        <v>-73</v>
      </c>
      <c r="F17" s="3">
        <v>-259</v>
      </c>
      <c r="G17" s="7">
        <f>SUM('Income Statement(q)'!E17:H17)</f>
        <v>-4</v>
      </c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179" x14ac:dyDescent="0.45">
      <c r="B18" s="1" t="s">
        <v>16</v>
      </c>
      <c r="C18" s="3">
        <f>C16+C17</f>
        <v>181639</v>
      </c>
      <c r="D18" s="3">
        <f>D16+D17</f>
        <v>-79691</v>
      </c>
      <c r="E18" s="3">
        <f>E16+E17</f>
        <v>-4286</v>
      </c>
      <c r="F18" s="3">
        <f>F16+F17</f>
        <v>-557267</v>
      </c>
      <c r="G18" s="7">
        <f>SUM('Income Statement(q)'!E18:H18)</f>
        <v>-155702.70400000003</v>
      </c>
      <c r="H18" s="3">
        <f>H16+H17</f>
        <v>185549.64680959992</v>
      </c>
      <c r="I18" s="3">
        <f t="shared" ref="I18:Q18" si="11">I16+I17</f>
        <v>181172.64288422378</v>
      </c>
      <c r="J18" s="3">
        <f t="shared" si="11"/>
        <v>176891.26451224173</v>
      </c>
      <c r="K18" s="3">
        <f t="shared" si="11"/>
        <v>172703.71346398274</v>
      </c>
      <c r="L18" s="3">
        <f t="shared" si="11"/>
        <v>168608.21334055826</v>
      </c>
      <c r="M18" s="3">
        <f t="shared" si="11"/>
        <v>164603.00988242161</v>
      </c>
      <c r="N18" s="3">
        <f t="shared" si="11"/>
        <v>160686.37123976677</v>
      </c>
      <c r="O18" s="3">
        <f t="shared" si="11"/>
        <v>156856.58820677694</v>
      </c>
      <c r="P18" s="3">
        <f t="shared" si="11"/>
        <v>153111.97442165078</v>
      </c>
      <c r="Q18" s="3">
        <f t="shared" si="11"/>
        <v>149450.86653424607</v>
      </c>
      <c r="R18" s="3">
        <f>Q18*(1+$T$22)</f>
        <v>149450.86653424607</v>
      </c>
      <c r="S18" s="3">
        <f t="shared" ref="S18:CD18" si="12">R18*(1+$T$22)</f>
        <v>149450.86653424607</v>
      </c>
      <c r="T18" s="3">
        <f t="shared" si="12"/>
        <v>149450.86653424607</v>
      </c>
      <c r="U18" s="3">
        <f t="shared" si="12"/>
        <v>149450.86653424607</v>
      </c>
      <c r="V18" s="3">
        <f t="shared" si="12"/>
        <v>149450.86653424607</v>
      </c>
      <c r="W18" s="3">
        <f t="shared" si="12"/>
        <v>149450.86653424607</v>
      </c>
      <c r="X18" s="3">
        <f t="shared" si="12"/>
        <v>149450.86653424607</v>
      </c>
      <c r="Y18" s="3">
        <f t="shared" si="12"/>
        <v>149450.86653424607</v>
      </c>
      <c r="Z18" s="3">
        <f t="shared" si="12"/>
        <v>149450.86653424607</v>
      </c>
      <c r="AA18" s="3">
        <f t="shared" si="12"/>
        <v>149450.86653424607</v>
      </c>
      <c r="AB18" s="3">
        <f t="shared" si="12"/>
        <v>149450.86653424607</v>
      </c>
      <c r="AC18" s="3">
        <f t="shared" si="12"/>
        <v>149450.86653424607</v>
      </c>
      <c r="AD18" s="3">
        <f t="shared" si="12"/>
        <v>149450.86653424607</v>
      </c>
      <c r="AE18" s="3">
        <f t="shared" si="12"/>
        <v>149450.86653424607</v>
      </c>
      <c r="AF18" s="3">
        <f t="shared" si="12"/>
        <v>149450.86653424607</v>
      </c>
      <c r="AG18" s="3">
        <f t="shared" si="12"/>
        <v>149450.86653424607</v>
      </c>
      <c r="AH18" s="3">
        <f t="shared" si="12"/>
        <v>149450.86653424607</v>
      </c>
      <c r="AI18" s="3">
        <f t="shared" si="12"/>
        <v>149450.86653424607</v>
      </c>
      <c r="AJ18" s="3">
        <f t="shared" si="12"/>
        <v>149450.86653424607</v>
      </c>
      <c r="AK18" s="3">
        <f t="shared" si="12"/>
        <v>149450.86653424607</v>
      </c>
      <c r="AL18" s="3">
        <f t="shared" si="12"/>
        <v>149450.86653424607</v>
      </c>
      <c r="AM18" s="3">
        <f t="shared" si="12"/>
        <v>149450.86653424607</v>
      </c>
      <c r="AN18" s="3">
        <f t="shared" si="12"/>
        <v>149450.86653424607</v>
      </c>
      <c r="AO18" s="3">
        <f t="shared" si="12"/>
        <v>149450.86653424607</v>
      </c>
      <c r="AP18" s="3">
        <f t="shared" si="12"/>
        <v>149450.86653424607</v>
      </c>
      <c r="AQ18" s="3">
        <f t="shared" si="12"/>
        <v>149450.86653424607</v>
      </c>
      <c r="AR18" s="3">
        <f t="shared" si="12"/>
        <v>149450.86653424607</v>
      </c>
      <c r="AS18" s="3">
        <f t="shared" si="12"/>
        <v>149450.86653424607</v>
      </c>
      <c r="AT18" s="3">
        <f t="shared" si="12"/>
        <v>149450.86653424607</v>
      </c>
      <c r="AU18" s="3">
        <f t="shared" si="12"/>
        <v>149450.86653424607</v>
      </c>
      <c r="AV18" s="3">
        <f t="shared" si="12"/>
        <v>149450.86653424607</v>
      </c>
      <c r="AW18" s="3">
        <f t="shared" si="12"/>
        <v>149450.86653424607</v>
      </c>
      <c r="AX18" s="3">
        <f t="shared" si="12"/>
        <v>149450.86653424607</v>
      </c>
      <c r="AY18" s="3">
        <f t="shared" si="12"/>
        <v>149450.86653424607</v>
      </c>
      <c r="AZ18" s="3">
        <f t="shared" si="12"/>
        <v>149450.86653424607</v>
      </c>
      <c r="BA18" s="3">
        <f t="shared" si="12"/>
        <v>149450.86653424607</v>
      </c>
      <c r="BB18" s="3">
        <f t="shared" si="12"/>
        <v>149450.86653424607</v>
      </c>
      <c r="BC18" s="3">
        <f t="shared" si="12"/>
        <v>149450.86653424607</v>
      </c>
      <c r="BD18" s="3">
        <f t="shared" si="12"/>
        <v>149450.86653424607</v>
      </c>
      <c r="BE18" s="3">
        <f t="shared" si="12"/>
        <v>149450.86653424607</v>
      </c>
      <c r="BF18" s="3">
        <f t="shared" si="12"/>
        <v>149450.86653424607</v>
      </c>
      <c r="BG18" s="3">
        <f t="shared" si="12"/>
        <v>149450.86653424607</v>
      </c>
      <c r="BH18" s="3">
        <f t="shared" si="12"/>
        <v>149450.86653424607</v>
      </c>
      <c r="BI18" s="3">
        <f t="shared" si="12"/>
        <v>149450.86653424607</v>
      </c>
      <c r="BJ18" s="3">
        <f t="shared" si="12"/>
        <v>149450.86653424607</v>
      </c>
      <c r="BK18" s="3">
        <f t="shared" si="12"/>
        <v>149450.86653424607</v>
      </c>
      <c r="BL18" s="3">
        <f t="shared" si="12"/>
        <v>149450.86653424607</v>
      </c>
      <c r="BM18" s="3">
        <f t="shared" si="12"/>
        <v>149450.86653424607</v>
      </c>
      <c r="BN18" s="3">
        <f t="shared" si="12"/>
        <v>149450.86653424607</v>
      </c>
      <c r="BO18" s="3">
        <f t="shared" si="12"/>
        <v>149450.86653424607</v>
      </c>
      <c r="BP18" s="3">
        <f t="shared" si="12"/>
        <v>149450.86653424607</v>
      </c>
      <c r="BQ18" s="3">
        <f t="shared" si="12"/>
        <v>149450.86653424607</v>
      </c>
      <c r="BR18" s="3">
        <f t="shared" si="12"/>
        <v>149450.86653424607</v>
      </c>
      <c r="BS18" s="3">
        <f t="shared" si="12"/>
        <v>149450.86653424607</v>
      </c>
      <c r="BT18" s="3">
        <f t="shared" si="12"/>
        <v>149450.86653424607</v>
      </c>
      <c r="BU18" s="3">
        <f t="shared" si="12"/>
        <v>149450.86653424607</v>
      </c>
      <c r="BV18" s="3">
        <f t="shared" si="12"/>
        <v>149450.86653424607</v>
      </c>
      <c r="BW18" s="3">
        <f t="shared" si="12"/>
        <v>149450.86653424607</v>
      </c>
      <c r="BX18" s="3">
        <f t="shared" si="12"/>
        <v>149450.86653424607</v>
      </c>
      <c r="BY18" s="3">
        <f t="shared" si="12"/>
        <v>149450.86653424607</v>
      </c>
      <c r="BZ18" s="3">
        <f t="shared" si="12"/>
        <v>149450.86653424607</v>
      </c>
      <c r="CA18" s="3">
        <f t="shared" si="12"/>
        <v>149450.86653424607</v>
      </c>
      <c r="CB18" s="3">
        <f t="shared" si="12"/>
        <v>149450.86653424607</v>
      </c>
      <c r="CC18" s="3">
        <f t="shared" si="12"/>
        <v>149450.86653424607</v>
      </c>
      <c r="CD18" s="3">
        <f t="shared" si="12"/>
        <v>149450.86653424607</v>
      </c>
      <c r="CE18" s="3">
        <f t="shared" ref="CE18:EP18" si="13">CD18*(1+$T$22)</f>
        <v>149450.86653424607</v>
      </c>
      <c r="CF18" s="3">
        <f t="shared" si="13"/>
        <v>149450.86653424607</v>
      </c>
      <c r="CG18" s="3">
        <f t="shared" si="13"/>
        <v>149450.86653424607</v>
      </c>
      <c r="CH18" s="3">
        <f t="shared" si="13"/>
        <v>149450.86653424607</v>
      </c>
      <c r="CI18" s="3">
        <f t="shared" si="13"/>
        <v>149450.86653424607</v>
      </c>
      <c r="CJ18" s="3">
        <f t="shared" si="13"/>
        <v>149450.86653424607</v>
      </c>
      <c r="CK18" s="3">
        <f t="shared" si="13"/>
        <v>149450.86653424607</v>
      </c>
      <c r="CL18" s="3">
        <f t="shared" si="13"/>
        <v>149450.86653424607</v>
      </c>
      <c r="CM18" s="3">
        <f t="shared" si="13"/>
        <v>149450.86653424607</v>
      </c>
      <c r="CN18" s="3">
        <f t="shared" si="13"/>
        <v>149450.86653424607</v>
      </c>
      <c r="CO18" s="3">
        <f t="shared" si="13"/>
        <v>149450.86653424607</v>
      </c>
      <c r="CP18" s="3">
        <f t="shared" si="13"/>
        <v>149450.86653424607</v>
      </c>
      <c r="CQ18" s="3">
        <f t="shared" si="13"/>
        <v>149450.86653424607</v>
      </c>
      <c r="CR18" s="3">
        <f t="shared" si="13"/>
        <v>149450.86653424607</v>
      </c>
      <c r="CS18" s="3">
        <f t="shared" si="13"/>
        <v>149450.86653424607</v>
      </c>
      <c r="CT18" s="3">
        <f t="shared" si="13"/>
        <v>149450.86653424607</v>
      </c>
      <c r="CU18" s="3">
        <f t="shared" si="13"/>
        <v>149450.86653424607</v>
      </c>
      <c r="CV18" s="3">
        <f t="shared" si="13"/>
        <v>149450.86653424607</v>
      </c>
      <c r="CW18" s="3">
        <f t="shared" si="13"/>
        <v>149450.86653424607</v>
      </c>
      <c r="CX18" s="3">
        <f t="shared" si="13"/>
        <v>149450.86653424607</v>
      </c>
      <c r="CY18" s="3">
        <f t="shared" si="13"/>
        <v>149450.86653424607</v>
      </c>
      <c r="CZ18" s="3">
        <f t="shared" si="13"/>
        <v>149450.86653424607</v>
      </c>
      <c r="DA18" s="3">
        <f t="shared" si="13"/>
        <v>149450.86653424607</v>
      </c>
      <c r="DB18" s="3">
        <f t="shared" si="13"/>
        <v>149450.86653424607</v>
      </c>
      <c r="DC18" s="3">
        <f t="shared" si="13"/>
        <v>149450.86653424607</v>
      </c>
      <c r="DD18" s="3">
        <f t="shared" si="13"/>
        <v>149450.86653424607</v>
      </c>
      <c r="DE18" s="3">
        <f t="shared" si="13"/>
        <v>149450.86653424607</v>
      </c>
      <c r="DF18" s="3">
        <f t="shared" si="13"/>
        <v>149450.86653424607</v>
      </c>
      <c r="DG18" s="3">
        <f t="shared" si="13"/>
        <v>149450.86653424607</v>
      </c>
      <c r="DH18" s="3">
        <f t="shared" si="13"/>
        <v>149450.86653424607</v>
      </c>
      <c r="DI18" s="3">
        <f t="shared" si="13"/>
        <v>149450.86653424607</v>
      </c>
      <c r="DJ18" s="3">
        <f t="shared" si="13"/>
        <v>149450.86653424607</v>
      </c>
      <c r="DK18" s="3">
        <f t="shared" si="13"/>
        <v>149450.86653424607</v>
      </c>
      <c r="DL18" s="3">
        <f t="shared" si="13"/>
        <v>149450.86653424607</v>
      </c>
      <c r="DM18" s="3">
        <f t="shared" si="13"/>
        <v>149450.86653424607</v>
      </c>
      <c r="DN18" s="3">
        <f t="shared" si="13"/>
        <v>149450.86653424607</v>
      </c>
      <c r="DO18" s="3">
        <f t="shared" si="13"/>
        <v>149450.86653424607</v>
      </c>
      <c r="DP18" s="3">
        <f t="shared" si="13"/>
        <v>149450.86653424607</v>
      </c>
      <c r="DQ18" s="3">
        <f t="shared" si="13"/>
        <v>149450.86653424607</v>
      </c>
      <c r="DR18" s="3">
        <f t="shared" si="13"/>
        <v>149450.86653424607</v>
      </c>
      <c r="DS18" s="3">
        <f t="shared" si="13"/>
        <v>149450.86653424607</v>
      </c>
      <c r="DT18" s="3">
        <f t="shared" si="13"/>
        <v>149450.86653424607</v>
      </c>
      <c r="DU18" s="3">
        <f t="shared" si="13"/>
        <v>149450.86653424607</v>
      </c>
      <c r="DV18" s="3">
        <f t="shared" si="13"/>
        <v>149450.86653424607</v>
      </c>
      <c r="DW18" s="3">
        <f t="shared" si="13"/>
        <v>149450.86653424607</v>
      </c>
      <c r="DX18" s="3">
        <f t="shared" si="13"/>
        <v>149450.86653424607</v>
      </c>
      <c r="DY18" s="3">
        <f t="shared" si="13"/>
        <v>149450.86653424607</v>
      </c>
      <c r="DZ18" s="3">
        <f t="shared" si="13"/>
        <v>149450.86653424607</v>
      </c>
      <c r="EA18" s="3">
        <f t="shared" si="13"/>
        <v>149450.86653424607</v>
      </c>
      <c r="EB18" s="3">
        <f t="shared" si="13"/>
        <v>149450.86653424607</v>
      </c>
      <c r="EC18" s="3">
        <f t="shared" si="13"/>
        <v>149450.86653424607</v>
      </c>
      <c r="ED18" s="3">
        <f t="shared" si="13"/>
        <v>149450.86653424607</v>
      </c>
      <c r="EE18" s="3">
        <f t="shared" si="13"/>
        <v>149450.86653424607</v>
      </c>
      <c r="EF18" s="3">
        <f t="shared" si="13"/>
        <v>149450.86653424607</v>
      </c>
      <c r="EG18" s="3">
        <f t="shared" si="13"/>
        <v>149450.86653424607</v>
      </c>
      <c r="EH18" s="3">
        <f t="shared" si="13"/>
        <v>149450.86653424607</v>
      </c>
      <c r="EI18" s="3">
        <f t="shared" si="13"/>
        <v>149450.86653424607</v>
      </c>
      <c r="EJ18" s="3">
        <f t="shared" si="13"/>
        <v>149450.86653424607</v>
      </c>
      <c r="EK18" s="3">
        <f t="shared" si="13"/>
        <v>149450.86653424607</v>
      </c>
      <c r="EL18" s="3">
        <f t="shared" si="13"/>
        <v>149450.86653424607</v>
      </c>
      <c r="EM18" s="3">
        <f t="shared" si="13"/>
        <v>149450.86653424607</v>
      </c>
      <c r="EN18" s="3">
        <f t="shared" si="13"/>
        <v>149450.86653424607</v>
      </c>
      <c r="EO18" s="3">
        <f t="shared" si="13"/>
        <v>149450.86653424607</v>
      </c>
      <c r="EP18" s="3">
        <f t="shared" si="13"/>
        <v>149450.86653424607</v>
      </c>
      <c r="EQ18" s="3">
        <f t="shared" ref="EQ18:FW18" si="14">EP18*(1+$T$22)</f>
        <v>149450.86653424607</v>
      </c>
      <c r="ER18" s="3">
        <f t="shared" si="14"/>
        <v>149450.86653424607</v>
      </c>
      <c r="ES18" s="3">
        <f t="shared" si="14"/>
        <v>149450.86653424607</v>
      </c>
      <c r="ET18" s="3">
        <f t="shared" si="14"/>
        <v>149450.86653424607</v>
      </c>
      <c r="EU18" s="3">
        <f t="shared" si="14"/>
        <v>149450.86653424607</v>
      </c>
      <c r="EV18" s="3">
        <f t="shared" si="14"/>
        <v>149450.86653424607</v>
      </c>
      <c r="EW18" s="3">
        <f t="shared" si="14"/>
        <v>149450.86653424607</v>
      </c>
      <c r="EX18" s="3">
        <f t="shared" si="14"/>
        <v>149450.86653424607</v>
      </c>
      <c r="EY18" s="3">
        <f t="shared" si="14"/>
        <v>149450.86653424607</v>
      </c>
      <c r="EZ18" s="3">
        <f t="shared" si="14"/>
        <v>149450.86653424607</v>
      </c>
      <c r="FA18" s="3">
        <f t="shared" si="14"/>
        <v>149450.86653424607</v>
      </c>
      <c r="FB18" s="3">
        <f t="shared" si="14"/>
        <v>149450.86653424607</v>
      </c>
      <c r="FC18" s="3">
        <f t="shared" si="14"/>
        <v>149450.86653424607</v>
      </c>
      <c r="FD18" s="3">
        <f t="shared" si="14"/>
        <v>149450.86653424607</v>
      </c>
      <c r="FE18" s="3">
        <f t="shared" si="14"/>
        <v>149450.86653424607</v>
      </c>
      <c r="FF18" s="3">
        <f t="shared" si="14"/>
        <v>149450.86653424607</v>
      </c>
      <c r="FG18" s="3">
        <f t="shared" si="14"/>
        <v>149450.86653424607</v>
      </c>
      <c r="FH18" s="3">
        <f t="shared" si="14"/>
        <v>149450.86653424607</v>
      </c>
      <c r="FI18" s="3">
        <f t="shared" si="14"/>
        <v>149450.86653424607</v>
      </c>
      <c r="FJ18" s="3">
        <f t="shared" si="14"/>
        <v>149450.86653424607</v>
      </c>
      <c r="FK18" s="3">
        <f t="shared" si="14"/>
        <v>149450.86653424607</v>
      </c>
      <c r="FL18" s="3">
        <f t="shared" si="14"/>
        <v>149450.86653424607</v>
      </c>
      <c r="FM18" s="3">
        <f t="shared" si="14"/>
        <v>149450.86653424607</v>
      </c>
      <c r="FN18" s="3">
        <f t="shared" si="14"/>
        <v>149450.86653424607</v>
      </c>
      <c r="FO18" s="3">
        <f t="shared" si="14"/>
        <v>149450.86653424607</v>
      </c>
      <c r="FP18" s="3">
        <f t="shared" si="14"/>
        <v>149450.86653424607</v>
      </c>
      <c r="FQ18" s="3">
        <f t="shared" si="14"/>
        <v>149450.86653424607</v>
      </c>
      <c r="FR18" s="3">
        <f t="shared" si="14"/>
        <v>149450.86653424607</v>
      </c>
      <c r="FS18" s="3">
        <f t="shared" si="14"/>
        <v>149450.86653424607</v>
      </c>
      <c r="FT18" s="3">
        <f t="shared" si="14"/>
        <v>149450.86653424607</v>
      </c>
      <c r="FU18" s="3">
        <f t="shared" si="14"/>
        <v>149450.86653424607</v>
      </c>
      <c r="FV18" s="3">
        <f t="shared" si="14"/>
        <v>149450.86653424607</v>
      </c>
      <c r="FW18" s="3">
        <f t="shared" si="14"/>
        <v>149450.86653424607</v>
      </c>
    </row>
    <row r="19" spans="2:179" x14ac:dyDescent="0.45">
      <c r="B19" s="1" t="s">
        <v>17</v>
      </c>
      <c r="C19" s="3">
        <v>129213</v>
      </c>
      <c r="D19" s="3">
        <v>129774</v>
      </c>
      <c r="E19" s="3">
        <v>140433</v>
      </c>
      <c r="F19" s="3">
        <v>120825</v>
      </c>
      <c r="G19" s="7">
        <f>'Income Statement(q)'!H19</f>
        <v>113145</v>
      </c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179" x14ac:dyDescent="0.45">
      <c r="B20" s="1"/>
      <c r="C20" s="3"/>
      <c r="D20" s="3"/>
      <c r="E20" s="3"/>
      <c r="F20" s="3"/>
      <c r="H20" s="7"/>
    </row>
    <row r="21" spans="2:179" x14ac:dyDescent="0.45">
      <c r="B21" s="1"/>
      <c r="C21" s="3"/>
      <c r="D21" s="3"/>
      <c r="E21" s="3"/>
      <c r="F21" s="3"/>
    </row>
    <row r="22" spans="2:179" x14ac:dyDescent="0.45">
      <c r="B22" s="1" t="s">
        <v>18</v>
      </c>
      <c r="C22" s="5">
        <v>0</v>
      </c>
      <c r="D22" s="5">
        <f>IFERROR((D3-C3)/C3,0)</f>
        <v>0.18739798399285065</v>
      </c>
      <c r="E22" s="5">
        <f>IFERROR((E3-D3)/D3,0)</f>
        <v>0.16416879634046594</v>
      </c>
      <c r="F22" s="5">
        <f>IFERROR((F3-E3)/E3,0)</f>
        <v>1.8836694142589584E-2</v>
      </c>
      <c r="G22" s="5">
        <f>IFERROR((G3-F3)/F3,0)</f>
        <v>-7.8372181780686292E-2</v>
      </c>
      <c r="H22" s="5">
        <f>IFERROR((H3-G3)/G3,0)</f>
        <v>-3.0000000000000051E-2</v>
      </c>
      <c r="I22" s="5">
        <f t="shared" ref="I22:Q22" si="15">IFERROR((I3-H3)/H3,0)</f>
        <v>-3.000000000000002E-2</v>
      </c>
      <c r="J22" s="5">
        <f t="shared" si="15"/>
        <v>-3.0000000000000023E-2</v>
      </c>
      <c r="K22" s="5">
        <f t="shared" si="15"/>
        <v>-3.0000000000000054E-2</v>
      </c>
      <c r="L22" s="5">
        <f t="shared" si="15"/>
        <v>-3.0000000000000013E-2</v>
      </c>
      <c r="M22" s="5">
        <f t="shared" si="15"/>
        <v>-3.0000000000000027E-2</v>
      </c>
      <c r="N22" s="5">
        <f t="shared" si="15"/>
        <v>-2.9999999999999992E-2</v>
      </c>
      <c r="O22" s="5">
        <f t="shared" si="15"/>
        <v>-2.9999999999999961E-2</v>
      </c>
      <c r="P22" s="5">
        <f t="shared" si="15"/>
        <v>-2.9999999999999961E-2</v>
      </c>
      <c r="Q22" s="5">
        <f t="shared" si="15"/>
        <v>-3.0000000000000068E-2</v>
      </c>
      <c r="S22" t="s">
        <v>95</v>
      </c>
      <c r="T22" s="13">
        <v>0</v>
      </c>
    </row>
    <row r="23" spans="2:179" x14ac:dyDescent="0.45">
      <c r="B23" s="1" t="s">
        <v>19</v>
      </c>
      <c r="C23" s="5">
        <f>C5/C3</f>
        <v>0.72983270031935443</v>
      </c>
      <c r="D23" s="5">
        <f>D5/D3</f>
        <v>0.72386367283783226</v>
      </c>
      <c r="E23" s="5">
        <f>E5/E3</f>
        <v>0.70733388475323955</v>
      </c>
      <c r="F23" s="5">
        <f>F5/F3</f>
        <v>0.70248021029391317</v>
      </c>
      <c r="G23" s="5">
        <f>G5/G3</f>
        <v>0.70809951035583241</v>
      </c>
      <c r="H23" s="5">
        <f>H5/H3</f>
        <v>0.70859951035583235</v>
      </c>
      <c r="I23" s="5">
        <f t="shared" ref="I23:Q23" si="16">I5/I3</f>
        <v>0.70909951035583219</v>
      </c>
      <c r="J23" s="5">
        <f t="shared" si="16"/>
        <v>0.70959951035583224</v>
      </c>
      <c r="K23" s="5">
        <f t="shared" si="16"/>
        <v>0.71009951035583219</v>
      </c>
      <c r="L23" s="5">
        <f t="shared" si="16"/>
        <v>0.71059951035583213</v>
      </c>
      <c r="M23" s="5">
        <f t="shared" si="16"/>
        <v>0.71109951035583208</v>
      </c>
      <c r="N23" s="5">
        <f t="shared" si="16"/>
        <v>0.71159951035583202</v>
      </c>
      <c r="O23" s="5">
        <f t="shared" si="16"/>
        <v>0.71209951035583197</v>
      </c>
      <c r="P23" s="5">
        <f t="shared" si="16"/>
        <v>0.71259951035583191</v>
      </c>
      <c r="Q23" s="5">
        <f t="shared" si="16"/>
        <v>0.71309951035583186</v>
      </c>
      <c r="S23" t="s">
        <v>96</v>
      </c>
      <c r="T23" s="8">
        <v>0.1</v>
      </c>
    </row>
    <row r="24" spans="2:179" x14ac:dyDescent="0.45">
      <c r="B24" s="1" t="s">
        <v>20</v>
      </c>
      <c r="C24" s="5">
        <f>C10/C3</f>
        <v>-0.17700253643663508</v>
      </c>
      <c r="D24" s="5">
        <f>D10/D3</f>
        <v>4.708783479412907E-2</v>
      </c>
      <c r="E24" s="5">
        <f>E10/E3</f>
        <v>5.0742990787484669E-2</v>
      </c>
      <c r="F24" s="5">
        <f>F10/F3</f>
        <v>0.17895325215580188</v>
      </c>
      <c r="G24" s="5">
        <f>G10/G3</f>
        <v>0.24049883765197599</v>
      </c>
      <c r="H24" s="5">
        <f>H10/H3</f>
        <v>0.2420988376519759</v>
      </c>
      <c r="I24" s="5">
        <f t="shared" ref="I24:Q24" si="17">I10/I3</f>
        <v>0.2436988376519757</v>
      </c>
      <c r="J24" s="5">
        <f t="shared" si="17"/>
        <v>0.24529883765197574</v>
      </c>
      <c r="K24" s="5">
        <f t="shared" si="17"/>
        <v>0.24689883765197573</v>
      </c>
      <c r="L24" s="5">
        <f t="shared" si="17"/>
        <v>0.24849883765197564</v>
      </c>
      <c r="M24" s="5">
        <f t="shared" si="17"/>
        <v>0.25009883765197549</v>
      </c>
      <c r="N24" s="5">
        <f t="shared" si="17"/>
        <v>0.25169883765197548</v>
      </c>
      <c r="O24" s="5">
        <f t="shared" si="17"/>
        <v>0.25329883765197536</v>
      </c>
      <c r="P24" s="5">
        <f t="shared" si="17"/>
        <v>0.2548988376519753</v>
      </c>
      <c r="Q24" s="5">
        <f t="shared" si="17"/>
        <v>0.25649883765197529</v>
      </c>
      <c r="S24" t="s">
        <v>97</v>
      </c>
      <c r="T24" s="7">
        <f>NPV(T23,H18:FW18)+Main!J6-Main!J7</f>
        <v>1329068.629826745</v>
      </c>
    </row>
    <row r="25" spans="2:179" x14ac:dyDescent="0.45">
      <c r="B25" s="1" t="s">
        <v>21</v>
      </c>
      <c r="C25" s="5">
        <f>C18/C3</f>
        <v>0.23871285697388653</v>
      </c>
      <c r="D25" s="5">
        <f>D18/D3</f>
        <v>-8.8202252787207128E-2</v>
      </c>
      <c r="E25" s="5">
        <f>E18/E3</f>
        <v>-4.0748029624559099E-3</v>
      </c>
      <c r="F25" s="5">
        <f>F18/F3</f>
        <v>-0.52001179497276606</v>
      </c>
      <c r="G25" s="5">
        <f>G18/G3</f>
        <v>-0.15764871979717637</v>
      </c>
      <c r="H25" s="5">
        <f>H18/H3</f>
        <v>0.19367907012158073</v>
      </c>
      <c r="I25" s="5">
        <f t="shared" ref="I25:Q25" si="18">I18/I3</f>
        <v>0.19495907012158056</v>
      </c>
      <c r="J25" s="5">
        <f t="shared" si="18"/>
        <v>0.19623907012158059</v>
      </c>
      <c r="K25" s="5">
        <f t="shared" si="18"/>
        <v>0.19751907012158057</v>
      </c>
      <c r="L25" s="5">
        <f t="shared" si="18"/>
        <v>0.19879907012158052</v>
      </c>
      <c r="M25" s="5">
        <f t="shared" si="18"/>
        <v>0.20007907012158038</v>
      </c>
      <c r="N25" s="5">
        <f t="shared" si="18"/>
        <v>0.20135907012158041</v>
      </c>
      <c r="O25" s="5">
        <f t="shared" si="18"/>
        <v>0.20263907012158031</v>
      </c>
      <c r="P25" s="5">
        <f t="shared" si="18"/>
        <v>0.20391907012158025</v>
      </c>
      <c r="Q25" s="5">
        <f t="shared" si="18"/>
        <v>0.20519907012158023</v>
      </c>
      <c r="S25" t="s">
        <v>89</v>
      </c>
      <c r="T25" s="6">
        <f>T24/Main!J4</f>
        <v>8.3616205500659522</v>
      </c>
    </row>
    <row r="26" spans="2:179" x14ac:dyDescent="0.45">
      <c r="S26" t="s">
        <v>98</v>
      </c>
      <c r="T26" s="12">
        <f>T25/Main!J3-1</f>
        <v>1.8833174310572249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25"/>
  <sheetViews>
    <sheetView workbookViewId="0">
      <selection activeCell="I18" sqref="I18"/>
    </sheetView>
  </sheetViews>
  <sheetFormatPr defaultRowHeight="14.25" x14ac:dyDescent="0.45"/>
  <cols>
    <col min="2" max="2" width="20.73046875" customWidth="1"/>
  </cols>
  <sheetData>
    <row r="1" spans="2:8" x14ac:dyDescent="0.45">
      <c r="C1" s="8"/>
      <c r="D1" s="8"/>
      <c r="E1" s="8"/>
      <c r="F1" s="8"/>
      <c r="G1" s="8"/>
    </row>
    <row r="2" spans="2:8" x14ac:dyDescent="0.45"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9" t="s">
        <v>94</v>
      </c>
    </row>
    <row r="3" spans="2:8" x14ac:dyDescent="0.45">
      <c r="B3" s="1" t="s">
        <v>1</v>
      </c>
      <c r="C3" s="3">
        <v>273605</v>
      </c>
      <c r="D3" s="3">
        <v>261648</v>
      </c>
      <c r="E3" s="3">
        <v>247101</v>
      </c>
      <c r="F3" s="3">
        <v>248229</v>
      </c>
      <c r="G3" s="3">
        <v>246163</v>
      </c>
      <c r="H3" s="7">
        <f>G3</f>
        <v>246163</v>
      </c>
    </row>
    <row r="4" spans="2:8" x14ac:dyDescent="0.45">
      <c r="B4" s="1" t="s">
        <v>2</v>
      </c>
      <c r="C4" s="3">
        <v>-79552</v>
      </c>
      <c r="D4" s="3">
        <v>-77953</v>
      </c>
      <c r="E4" s="3">
        <v>-73353</v>
      </c>
      <c r="F4" s="3">
        <v>-74338</v>
      </c>
      <c r="G4" s="3">
        <v>-69219</v>
      </c>
      <c r="H4" s="7">
        <f>H5-H3</f>
        <v>-71387.270000000019</v>
      </c>
    </row>
    <row r="5" spans="2:8" x14ac:dyDescent="0.45">
      <c r="B5" s="1" t="s">
        <v>3</v>
      </c>
      <c r="C5" s="3">
        <f>C3+C4</f>
        <v>194053</v>
      </c>
      <c r="D5" s="3">
        <f>D3+D4</f>
        <v>183695</v>
      </c>
      <c r="E5" s="3">
        <f>E3+E4</f>
        <v>173748</v>
      </c>
      <c r="F5" s="3">
        <f>F3+F4</f>
        <v>173891</v>
      </c>
      <c r="G5" s="3">
        <f>G3+G4</f>
        <v>176944</v>
      </c>
      <c r="H5" s="3">
        <f>H3*0.71</f>
        <v>174775.72999999998</v>
      </c>
    </row>
    <row r="6" spans="2:8" x14ac:dyDescent="0.45">
      <c r="B6" s="1" t="s">
        <v>4</v>
      </c>
      <c r="C6" s="3">
        <v>-96800</v>
      </c>
      <c r="D6" s="3">
        <v>-104529</v>
      </c>
      <c r="E6" s="3">
        <v>-81378</v>
      </c>
      <c r="F6" s="3">
        <v>-68238</v>
      </c>
      <c r="G6" s="3">
        <v>-79030</v>
      </c>
      <c r="H6" s="7">
        <f>H3*-0.32</f>
        <v>-78772.160000000003</v>
      </c>
    </row>
    <row r="7" spans="2:8" x14ac:dyDescent="0.45">
      <c r="B7" s="1" t="s">
        <v>5</v>
      </c>
      <c r="C7" s="3">
        <v>-24880</v>
      </c>
      <c r="D7" s="3">
        <v>-24123</v>
      </c>
      <c r="E7" s="3">
        <v>-34504</v>
      </c>
      <c r="F7" s="3">
        <v>-32510</v>
      </c>
      <c r="G7" s="3">
        <v>-29614</v>
      </c>
      <c r="H7" s="7">
        <f>H3*-0.12</f>
        <v>-29539.559999999998</v>
      </c>
    </row>
    <row r="8" spans="2:8" x14ac:dyDescent="0.45">
      <c r="B8" s="1" t="s">
        <v>6</v>
      </c>
      <c r="C8" s="3">
        <v>-18312</v>
      </c>
      <c r="D8" s="3">
        <v>-18074</v>
      </c>
      <c r="E8" s="3">
        <v>-9585</v>
      </c>
      <c r="F8" s="3">
        <v>-6631</v>
      </c>
      <c r="G8" s="3">
        <v>-4642</v>
      </c>
      <c r="H8" s="3">
        <f>H3*-0.03</f>
        <v>-7384.8899999999994</v>
      </c>
    </row>
    <row r="9" spans="2:8" x14ac:dyDescent="0.45">
      <c r="B9" s="1" t="s">
        <v>7</v>
      </c>
      <c r="C9" s="3">
        <f>C6+C7+C8</f>
        <v>-139992</v>
      </c>
      <c r="D9" s="3">
        <f>D6+D7+D8</f>
        <v>-146726</v>
      </c>
      <c r="E9" s="3">
        <f>E6+E7+E8</f>
        <v>-125467</v>
      </c>
      <c r="F9" s="3">
        <f>F6+F7+F8</f>
        <v>-107379</v>
      </c>
      <c r="G9" s="3">
        <f>G6+G7+G8</f>
        <v>-113286</v>
      </c>
      <c r="H9" s="3">
        <f>H6+H7+H8</f>
        <v>-115696.61</v>
      </c>
    </row>
    <row r="10" spans="2:8" x14ac:dyDescent="0.45">
      <c r="B10" s="1" t="s">
        <v>8</v>
      </c>
      <c r="C10" s="3">
        <f>C5+C9</f>
        <v>54061</v>
      </c>
      <c r="D10" s="3">
        <f>D5+D9</f>
        <v>36969</v>
      </c>
      <c r="E10" s="3">
        <f>E5+E9</f>
        <v>48281</v>
      </c>
      <c r="F10" s="3">
        <f>F5+F9</f>
        <v>66512</v>
      </c>
      <c r="G10" s="3">
        <f>G5+G9</f>
        <v>63658</v>
      </c>
      <c r="H10" s="3">
        <f>H5+H9</f>
        <v>59079.119999999981</v>
      </c>
    </row>
    <row r="11" spans="2:8" x14ac:dyDescent="0.45">
      <c r="B11" s="1" t="s">
        <v>9</v>
      </c>
      <c r="C11" s="3">
        <v>-9809</v>
      </c>
      <c r="D11" s="3">
        <v>-12136</v>
      </c>
      <c r="E11" s="3">
        <v>-12049</v>
      </c>
      <c r="F11" s="3">
        <v>-10259</v>
      </c>
      <c r="G11" s="3">
        <v>-10641</v>
      </c>
      <c r="H11" s="7"/>
    </row>
    <row r="12" spans="2:8" x14ac:dyDescent="0.45">
      <c r="B12" s="1" t="s">
        <v>10</v>
      </c>
      <c r="C12" s="3">
        <v>-889350</v>
      </c>
      <c r="D12" s="3">
        <v>-8642</v>
      </c>
      <c r="E12" s="3">
        <v>-10393</v>
      </c>
      <c r="F12" s="3">
        <v>-416767</v>
      </c>
      <c r="G12" s="3">
        <v>8128</v>
      </c>
      <c r="H12" s="7"/>
    </row>
    <row r="13" spans="2:8" x14ac:dyDescent="0.45">
      <c r="B13" s="1" t="s">
        <v>11</v>
      </c>
      <c r="C13" s="3">
        <f>C10+C11+C12</f>
        <v>-845098</v>
      </c>
      <c r="D13" s="3">
        <f>D10+D11+D12</f>
        <v>16191</v>
      </c>
      <c r="E13" s="3">
        <f>E10+E11+E12</f>
        <v>25839</v>
      </c>
      <c r="F13" s="3">
        <f>F10+F11+F12</f>
        <v>-360514</v>
      </c>
      <c r="G13" s="3">
        <f>G10+G11+G12</f>
        <v>61145</v>
      </c>
      <c r="H13" s="3">
        <f>H10+H11+H12</f>
        <v>59079.119999999981</v>
      </c>
    </row>
    <row r="14" spans="2:8" x14ac:dyDescent="0.45">
      <c r="B14" s="1" t="s">
        <v>12</v>
      </c>
      <c r="C14" s="3">
        <v>-4161</v>
      </c>
      <c r="D14" s="3">
        <v>-6865</v>
      </c>
      <c r="E14" s="3">
        <v>-6008</v>
      </c>
      <c r="F14" s="3">
        <v>-6469</v>
      </c>
      <c r="G14" s="3">
        <v>-9500</v>
      </c>
      <c r="H14" s="7">
        <f>H13*-0.2</f>
        <v>-11815.823999999997</v>
      </c>
    </row>
    <row r="15" spans="2:8" x14ac:dyDescent="0.45">
      <c r="B15" s="1" t="s">
        <v>13</v>
      </c>
      <c r="C15" s="3">
        <v>236060</v>
      </c>
      <c r="D15" s="3">
        <v>-5147</v>
      </c>
      <c r="E15" s="3">
        <v>-6387</v>
      </c>
      <c r="F15" s="3">
        <v>113239</v>
      </c>
      <c r="G15" s="3">
        <v>-14307</v>
      </c>
      <c r="H15" s="7"/>
    </row>
    <row r="16" spans="2:8" x14ac:dyDescent="0.45">
      <c r="B16" s="1" t="s">
        <v>14</v>
      </c>
      <c r="C16" s="3">
        <f>C13+C14+C15</f>
        <v>-613199</v>
      </c>
      <c r="D16" s="3">
        <f>D13+D14+D15</f>
        <v>4179</v>
      </c>
      <c r="E16" s="3">
        <f>E13+E14+E15</f>
        <v>13444</v>
      </c>
      <c r="F16" s="3">
        <f>F13+F14+F15</f>
        <v>-253744</v>
      </c>
      <c r="G16" s="3">
        <f>G13+G14+G15</f>
        <v>37338</v>
      </c>
      <c r="H16" s="3">
        <f>H13+H14+H15</f>
        <v>47263.295999999988</v>
      </c>
    </row>
    <row r="17" spans="2:9" x14ac:dyDescent="0.45">
      <c r="B17" s="1" t="s">
        <v>15</v>
      </c>
      <c r="C17" s="3">
        <v>-211</v>
      </c>
      <c r="D17" s="3">
        <v>5220</v>
      </c>
      <c r="E17" s="3">
        <v>-1</v>
      </c>
      <c r="F17" s="3">
        <v>-4</v>
      </c>
      <c r="G17" s="3">
        <v>1</v>
      </c>
      <c r="H17" s="7"/>
    </row>
    <row r="18" spans="2:9" x14ac:dyDescent="0.45">
      <c r="B18" s="1" t="s">
        <v>16</v>
      </c>
      <c r="C18" s="3">
        <f>C16+C17</f>
        <v>-613410</v>
      </c>
      <c r="D18" s="3">
        <f>D16+D17</f>
        <v>9399</v>
      </c>
      <c r="E18" s="3">
        <f>E16+E17</f>
        <v>13443</v>
      </c>
      <c r="F18" s="3">
        <f>F16+F17</f>
        <v>-253748</v>
      </c>
      <c r="G18" s="3">
        <f>G16+G17</f>
        <v>37339</v>
      </c>
      <c r="H18" s="3">
        <f>H16+H17</f>
        <v>47263.295999999988</v>
      </c>
      <c r="I18" s="3"/>
    </row>
    <row r="19" spans="2:9" x14ac:dyDescent="0.45">
      <c r="B19" s="1" t="s">
        <v>17</v>
      </c>
      <c r="C19" s="3">
        <v>120000</v>
      </c>
      <c r="D19" s="3">
        <v>107108</v>
      </c>
      <c r="E19" s="3">
        <v>103415</v>
      </c>
      <c r="F19" s="3">
        <v>103952</v>
      </c>
      <c r="G19" s="3">
        <v>113145</v>
      </c>
      <c r="H19" s="3">
        <v>113145</v>
      </c>
    </row>
    <row r="20" spans="2:9" x14ac:dyDescent="0.45">
      <c r="B20" s="1"/>
      <c r="C20" s="3"/>
      <c r="D20" s="3"/>
      <c r="E20" s="3"/>
      <c r="F20" s="3"/>
      <c r="G20" s="3"/>
    </row>
    <row r="21" spans="2:9" x14ac:dyDescent="0.45">
      <c r="B21" s="1"/>
      <c r="C21" s="3"/>
      <c r="D21" s="3"/>
      <c r="E21" s="3"/>
      <c r="F21" s="3"/>
      <c r="G21" s="3"/>
    </row>
    <row r="22" spans="2:9" x14ac:dyDescent="0.45">
      <c r="B22" s="1" t="s">
        <v>18</v>
      </c>
      <c r="C22" s="5">
        <v>0</v>
      </c>
      <c r="D22" s="5">
        <f>IFERROR((D3-C3)/C3,0)</f>
        <v>-4.3701686738180957E-2</v>
      </c>
      <c r="E22" s="5">
        <f>IFERROR((E3-D3)/D3,0)</f>
        <v>-5.5597596771234638E-2</v>
      </c>
      <c r="F22" s="5">
        <f>IFERROR((F3-E3)/E3,0)</f>
        <v>4.5649349860988021E-3</v>
      </c>
      <c r="G22" s="5">
        <f>IFERROR((G3-F3)/F3,0)</f>
        <v>-8.3229598475601154E-3</v>
      </c>
      <c r="H22" s="5">
        <f>IFERROR((H3-G3)/G3,0)</f>
        <v>0</v>
      </c>
    </row>
    <row r="23" spans="2:9" x14ac:dyDescent="0.45">
      <c r="B23" s="1" t="s">
        <v>19</v>
      </c>
      <c r="C23" s="5">
        <f>C5/C3</f>
        <v>0.70924507958553384</v>
      </c>
      <c r="D23" s="5">
        <f>D5/D3</f>
        <v>0.70206919219715036</v>
      </c>
      <c r="E23" s="5">
        <f>E5/E3</f>
        <v>0.70314567727366539</v>
      </c>
      <c r="F23" s="5">
        <f>F5/F3</f>
        <v>0.7005265299380814</v>
      </c>
      <c r="G23" s="5">
        <f>G5/G3</f>
        <v>0.71880826931748476</v>
      </c>
      <c r="H23" s="5">
        <f>H5/H3</f>
        <v>0.71</v>
      </c>
    </row>
    <row r="24" spans="2:9" x14ac:dyDescent="0.45">
      <c r="B24" s="1" t="s">
        <v>20</v>
      </c>
      <c r="C24" s="5">
        <f>C10/C3</f>
        <v>0.19758776338151715</v>
      </c>
      <c r="D24" s="5">
        <f>D10/D3</f>
        <v>0.14129288203999266</v>
      </c>
      <c r="E24" s="5">
        <f>E10/E3</f>
        <v>0.19538973941829454</v>
      </c>
      <c r="F24" s="5">
        <f>F10/F3</f>
        <v>0.26794613038766624</v>
      </c>
      <c r="G24" s="5">
        <f>G10/G3</f>
        <v>0.25860100827500476</v>
      </c>
      <c r="H24" s="5">
        <f>H10/H3</f>
        <v>0.23999999999999994</v>
      </c>
    </row>
    <row r="25" spans="2:9" x14ac:dyDescent="0.45">
      <c r="B25" s="1" t="s">
        <v>21</v>
      </c>
      <c r="C25" s="5">
        <f>C18/C3</f>
        <v>-2.2419546426417645</v>
      </c>
      <c r="D25" s="5">
        <f>D18/D3</f>
        <v>3.5922307833425059E-2</v>
      </c>
      <c r="E25" s="5">
        <f>E18/E3</f>
        <v>5.4402855512523218E-2</v>
      </c>
      <c r="F25" s="5">
        <f>F18/F3</f>
        <v>-1.0222335021290825</v>
      </c>
      <c r="G25" s="5">
        <f>G18/G3</f>
        <v>0.1516840467495115</v>
      </c>
      <c r="H25" s="5">
        <f>H18/H3</f>
        <v>0.19199999999999995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31"/>
  <sheetViews>
    <sheetView workbookViewId="0"/>
  </sheetViews>
  <sheetFormatPr defaultRowHeight="14.25" x14ac:dyDescent="0.45"/>
  <cols>
    <col min="2" max="2" width="29.73046875" customWidth="1"/>
  </cols>
  <sheetData>
    <row r="2" spans="2:6" x14ac:dyDescent="0.45">
      <c r="C2" s="4">
        <v>2021</v>
      </c>
      <c r="D2" s="4">
        <v>2022</v>
      </c>
      <c r="E2" s="4">
        <v>2023</v>
      </c>
      <c r="F2" s="4">
        <v>2024</v>
      </c>
    </row>
    <row r="3" spans="2:6" x14ac:dyDescent="0.45">
      <c r="B3" s="1" t="s">
        <v>14</v>
      </c>
      <c r="C3" s="3">
        <v>309815</v>
      </c>
      <c r="D3" s="3">
        <v>-79746</v>
      </c>
      <c r="E3" s="3">
        <v>-4213</v>
      </c>
      <c r="F3" s="3">
        <v>-557008</v>
      </c>
    </row>
    <row r="4" spans="2:6" x14ac:dyDescent="0.45">
      <c r="B4" s="1" t="s">
        <v>27</v>
      </c>
      <c r="C4" s="3">
        <v>107056</v>
      </c>
      <c r="D4" s="3">
        <v>89713</v>
      </c>
      <c r="E4" s="3">
        <v>68028</v>
      </c>
      <c r="F4" s="3">
        <v>70616</v>
      </c>
    </row>
    <row r="5" spans="2:6" x14ac:dyDescent="0.45">
      <c r="B5" s="1" t="s">
        <v>28</v>
      </c>
      <c r="C5" s="3">
        <v>-56476</v>
      </c>
      <c r="D5" s="3">
        <v>-34928</v>
      </c>
      <c r="E5" s="3">
        <v>8670</v>
      </c>
      <c r="F5" s="3">
        <v>-87388</v>
      </c>
    </row>
    <row r="6" spans="2:6" x14ac:dyDescent="0.45">
      <c r="B6" s="1" t="s">
        <v>29</v>
      </c>
      <c r="C6" s="3">
        <v>-255558</v>
      </c>
      <c r="D6" s="3">
        <v>157902</v>
      </c>
      <c r="E6" s="3">
        <v>109601</v>
      </c>
      <c r="F6" s="3">
        <v>697221</v>
      </c>
    </row>
    <row r="7" spans="2:6" x14ac:dyDescent="0.45">
      <c r="B7" s="1" t="s">
        <v>30</v>
      </c>
      <c r="C7" s="3">
        <v>104837</v>
      </c>
      <c r="D7" s="3">
        <v>132941</v>
      </c>
      <c r="E7" s="3">
        <v>182086</v>
      </c>
      <c r="F7" s="3">
        <v>123441</v>
      </c>
    </row>
    <row r="8" spans="2:6" x14ac:dyDescent="0.45">
      <c r="B8" s="1" t="s">
        <v>31</v>
      </c>
      <c r="C8" s="3">
        <v>0</v>
      </c>
      <c r="D8" s="3">
        <v>-69720</v>
      </c>
      <c r="E8" s="3">
        <v>-9820</v>
      </c>
      <c r="F8" s="3">
        <v>0</v>
      </c>
    </row>
    <row r="9" spans="2:6" x14ac:dyDescent="0.45">
      <c r="B9" s="1" t="s">
        <v>32</v>
      </c>
      <c r="C9" s="3">
        <v>0</v>
      </c>
      <c r="D9" s="3">
        <v>0</v>
      </c>
      <c r="E9" s="3">
        <v>0</v>
      </c>
      <c r="F9" s="3">
        <v>0</v>
      </c>
    </row>
    <row r="10" spans="2:6" x14ac:dyDescent="0.45">
      <c r="B10" s="1" t="s">
        <v>33</v>
      </c>
      <c r="C10" s="3">
        <v>0</v>
      </c>
      <c r="D10" s="3">
        <v>0</v>
      </c>
      <c r="E10" s="3">
        <v>0</v>
      </c>
      <c r="F10" s="3">
        <v>0</v>
      </c>
    </row>
    <row r="11" spans="2:6" x14ac:dyDescent="0.45">
      <c r="B11" s="1" t="s">
        <v>34</v>
      </c>
      <c r="C11" s="3">
        <v>-12484</v>
      </c>
      <c r="D11" s="3">
        <v>-16333</v>
      </c>
      <c r="E11" s="3">
        <v>-14935</v>
      </c>
      <c r="F11" s="3">
        <v>-26754</v>
      </c>
    </row>
    <row r="12" spans="2:6" x14ac:dyDescent="0.45">
      <c r="B12" s="1" t="s">
        <v>35</v>
      </c>
      <c r="C12" s="3">
        <v>-12484</v>
      </c>
      <c r="D12" s="3">
        <v>-86053</v>
      </c>
      <c r="E12" s="3">
        <v>-24755</v>
      </c>
      <c r="F12" s="3">
        <v>-26754</v>
      </c>
    </row>
    <row r="13" spans="2:6" x14ac:dyDescent="0.45">
      <c r="B13" s="1" t="s">
        <v>36</v>
      </c>
      <c r="C13" s="3">
        <v>-206438</v>
      </c>
      <c r="D13" s="3">
        <v>-5750</v>
      </c>
      <c r="E13" s="3">
        <v>-5750</v>
      </c>
      <c r="F13" s="3">
        <v>-5750</v>
      </c>
    </row>
    <row r="14" spans="2:6" x14ac:dyDescent="0.45">
      <c r="B14" s="1" t="s">
        <v>37</v>
      </c>
      <c r="C14" s="3">
        <v>-1991654</v>
      </c>
      <c r="D14" s="3">
        <v>0</v>
      </c>
      <c r="E14" s="3">
        <v>-157139</v>
      </c>
      <c r="F14" s="3">
        <v>-214297</v>
      </c>
    </row>
    <row r="15" spans="2:6" x14ac:dyDescent="0.45">
      <c r="B15" s="1" t="s">
        <v>38</v>
      </c>
      <c r="C15" s="3">
        <v>0</v>
      </c>
      <c r="D15" s="3">
        <v>0</v>
      </c>
      <c r="E15" s="3">
        <v>0</v>
      </c>
      <c r="F15" s="3">
        <v>0</v>
      </c>
    </row>
    <row r="16" spans="2:6" x14ac:dyDescent="0.45">
      <c r="B16" s="1" t="s">
        <v>39</v>
      </c>
      <c r="C16" s="3">
        <v>2358371</v>
      </c>
      <c r="D16" s="3">
        <v>0</v>
      </c>
      <c r="E16" s="3">
        <v>0</v>
      </c>
      <c r="F16" s="3">
        <v>0</v>
      </c>
    </row>
    <row r="17" spans="2:6" x14ac:dyDescent="0.45">
      <c r="B17" s="1" t="s">
        <v>40</v>
      </c>
      <c r="C17" s="3">
        <v>-8793</v>
      </c>
      <c r="D17" s="3">
        <v>-9204</v>
      </c>
      <c r="E17" s="3">
        <v>-36002</v>
      </c>
      <c r="F17" s="3">
        <v>-30781</v>
      </c>
    </row>
    <row r="18" spans="2:6" x14ac:dyDescent="0.45">
      <c r="B18" s="1" t="s">
        <v>41</v>
      </c>
      <c r="C18" s="3">
        <v>151486</v>
      </c>
      <c r="D18" s="3">
        <v>-14954</v>
      </c>
      <c r="E18" s="3">
        <v>-198891</v>
      </c>
      <c r="F18" s="3">
        <v>-250828</v>
      </c>
    </row>
    <row r="19" spans="2:6" x14ac:dyDescent="0.45">
      <c r="B19" s="1" t="s">
        <v>42</v>
      </c>
      <c r="C19" s="3">
        <v>243839</v>
      </c>
      <c r="D19" s="3">
        <v>31934</v>
      </c>
      <c r="E19" s="3">
        <v>-41560</v>
      </c>
      <c r="F19" s="3">
        <v>-154141</v>
      </c>
    </row>
    <row r="20" spans="2:6" x14ac:dyDescent="0.45">
      <c r="B20" s="1" t="s">
        <v>43</v>
      </c>
      <c r="C20" s="3">
        <v>-2950</v>
      </c>
      <c r="D20" s="3">
        <v>1450</v>
      </c>
      <c r="E20" s="3">
        <v>-9840</v>
      </c>
      <c r="F20" s="3">
        <v>-742</v>
      </c>
    </row>
    <row r="21" spans="2:6" x14ac:dyDescent="0.45">
      <c r="B21" s="1" t="s">
        <v>44</v>
      </c>
      <c r="C21" s="3">
        <v>128286</v>
      </c>
      <c r="D21" s="3">
        <v>369175</v>
      </c>
      <c r="E21" s="3">
        <v>407042</v>
      </c>
      <c r="F21" s="3">
        <v>359202</v>
      </c>
    </row>
    <row r="22" spans="2:6" x14ac:dyDescent="0.45">
      <c r="B22" s="1" t="s">
        <v>45</v>
      </c>
      <c r="C22" s="3">
        <v>369175</v>
      </c>
      <c r="D22" s="3">
        <v>402559</v>
      </c>
      <c r="E22" s="3">
        <v>355642</v>
      </c>
      <c r="F22" s="3">
        <v>204319</v>
      </c>
    </row>
    <row r="23" spans="2:6" x14ac:dyDescent="0.45">
      <c r="B23" s="1" t="s">
        <v>46</v>
      </c>
      <c r="C23" s="3">
        <v>104837</v>
      </c>
      <c r="D23" s="3">
        <v>132941</v>
      </c>
      <c r="E23" s="3">
        <v>182086</v>
      </c>
      <c r="F23" s="3">
        <v>123441</v>
      </c>
    </row>
    <row r="24" spans="2:6" x14ac:dyDescent="0.45">
      <c r="B24" s="1" t="s">
        <v>47</v>
      </c>
      <c r="C24" s="3">
        <v>-13653</v>
      </c>
      <c r="D24" s="3">
        <v>-16333</v>
      </c>
      <c r="E24" s="3">
        <v>-14935</v>
      </c>
      <c r="F24" s="3">
        <v>-26754</v>
      </c>
    </row>
    <row r="25" spans="2:6" x14ac:dyDescent="0.45">
      <c r="B25" s="1" t="s">
        <v>48</v>
      </c>
      <c r="C25" s="3">
        <f>C23</f>
        <v>104837</v>
      </c>
      <c r="D25" s="3">
        <f>D23</f>
        <v>132941</v>
      </c>
      <c r="E25" s="3">
        <f>E23</f>
        <v>182086</v>
      </c>
      <c r="F25" s="3">
        <f>F23</f>
        <v>123441</v>
      </c>
    </row>
    <row r="26" spans="2:6" x14ac:dyDescent="0.45">
      <c r="B26" s="1"/>
      <c r="C26" s="3"/>
      <c r="D26" s="3"/>
      <c r="E26" s="3"/>
      <c r="F26" s="3"/>
    </row>
    <row r="27" spans="2:6" x14ac:dyDescent="0.45">
      <c r="B27" s="1"/>
      <c r="C27" s="3"/>
      <c r="D27" s="3"/>
      <c r="E27" s="3"/>
      <c r="F27" s="3"/>
    </row>
    <row r="28" spans="2:6" x14ac:dyDescent="0.45">
      <c r="B28" s="1" t="s">
        <v>49</v>
      </c>
      <c r="C28" s="5">
        <v>0</v>
      </c>
      <c r="D28" s="5">
        <v>0.2681</v>
      </c>
      <c r="E28" s="5">
        <v>0.36969999999999997</v>
      </c>
      <c r="F28" s="5">
        <v>-0.3221</v>
      </c>
    </row>
    <row r="29" spans="2:6" x14ac:dyDescent="0.45">
      <c r="B29" s="1" t="s">
        <v>50</v>
      </c>
      <c r="C29" s="5">
        <v>0</v>
      </c>
      <c r="D29" s="5">
        <v>0.1963</v>
      </c>
      <c r="E29" s="5">
        <v>-8.5600000000000009E-2</v>
      </c>
      <c r="F29" s="5">
        <v>0.79139999999999999</v>
      </c>
    </row>
    <row r="30" spans="2:6" x14ac:dyDescent="0.45">
      <c r="B30" s="1" t="s">
        <v>51</v>
      </c>
      <c r="C30" s="5">
        <v>0</v>
      </c>
      <c r="D30" s="5">
        <v>0.27879999999999999</v>
      </c>
      <c r="E30" s="5">
        <v>0.43340000000000001</v>
      </c>
      <c r="F30" s="5">
        <v>-0.42159999999999997</v>
      </c>
    </row>
    <row r="31" spans="2:6" x14ac:dyDescent="0.45">
      <c r="B31" s="1" t="s">
        <v>52</v>
      </c>
      <c r="C31" s="5">
        <v>0.86980000000000002</v>
      </c>
      <c r="D31" s="5">
        <v>0.87709999999999999</v>
      </c>
      <c r="E31" s="5">
        <v>0.91799999999999993</v>
      </c>
      <c r="F31" s="5">
        <v>0.7833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31"/>
  <sheetViews>
    <sheetView tabSelected="1" workbookViewId="0">
      <selection activeCell="G3" sqref="G3"/>
    </sheetView>
  </sheetViews>
  <sheetFormatPr defaultRowHeight="14.25" x14ac:dyDescent="0.45"/>
  <cols>
    <col min="2" max="2" width="29.73046875" customWidth="1"/>
  </cols>
  <sheetData>
    <row r="2" spans="2:7" x14ac:dyDescent="0.45"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</row>
    <row r="3" spans="2:7" x14ac:dyDescent="0.45">
      <c r="B3" s="1" t="s">
        <v>14</v>
      </c>
      <c r="C3" s="3">
        <v>-613199</v>
      </c>
      <c r="D3" s="3">
        <v>4179</v>
      </c>
      <c r="E3" s="3">
        <v>13444</v>
      </c>
      <c r="F3" s="3">
        <v>-253744</v>
      </c>
      <c r="G3" s="3">
        <v>37338</v>
      </c>
    </row>
    <row r="4" spans="2:7" x14ac:dyDescent="0.45">
      <c r="B4" s="1" t="s">
        <v>27</v>
      </c>
      <c r="C4" s="3">
        <v>18312</v>
      </c>
      <c r="D4" s="3">
        <v>18074</v>
      </c>
      <c r="E4" s="3">
        <v>9585</v>
      </c>
      <c r="F4" s="3">
        <v>6631</v>
      </c>
      <c r="G4" s="3">
        <v>4642</v>
      </c>
    </row>
    <row r="5" spans="2:7" x14ac:dyDescent="0.45">
      <c r="B5" s="1" t="s">
        <v>28</v>
      </c>
      <c r="C5" s="3">
        <v>21512</v>
      </c>
      <c r="D5" s="3">
        <v>-55678</v>
      </c>
      <c r="E5" s="3">
        <v>-9186</v>
      </c>
      <c r="F5" s="3">
        <v>1248</v>
      </c>
      <c r="G5" s="3">
        <v>17476</v>
      </c>
    </row>
    <row r="6" spans="2:7" x14ac:dyDescent="0.45">
      <c r="B6" s="1" t="s">
        <v>29</v>
      </c>
      <c r="C6" s="3">
        <v>666869</v>
      </c>
      <c r="D6" s="3">
        <v>28027</v>
      </c>
      <c r="E6" s="3">
        <v>29402</v>
      </c>
      <c r="F6" s="3">
        <v>317101</v>
      </c>
      <c r="G6" s="3">
        <v>17363</v>
      </c>
    </row>
    <row r="7" spans="2:7" x14ac:dyDescent="0.45">
      <c r="B7" s="1" t="s">
        <v>30</v>
      </c>
      <c r="C7" s="3">
        <v>93494</v>
      </c>
      <c r="D7" s="3">
        <v>-5398</v>
      </c>
      <c r="E7" s="3">
        <v>43245</v>
      </c>
      <c r="F7" s="3">
        <v>71236</v>
      </c>
      <c r="G7" s="3">
        <v>76819</v>
      </c>
    </row>
    <row r="8" spans="2:7" x14ac:dyDescent="0.45">
      <c r="B8" s="1" t="s">
        <v>31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2:7" x14ac:dyDescent="0.45">
      <c r="B9" s="1" t="s">
        <v>32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2:7" x14ac:dyDescent="0.45">
      <c r="B10" s="1" t="s">
        <v>33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2:7" x14ac:dyDescent="0.45">
      <c r="B11" s="1" t="s">
        <v>34</v>
      </c>
      <c r="C11" s="3">
        <v>-19054</v>
      </c>
      <c r="D11" s="3">
        <v>-3169</v>
      </c>
      <c r="E11" s="3">
        <v>-2411</v>
      </c>
      <c r="F11" s="3">
        <v>-3509</v>
      </c>
      <c r="G11" s="3">
        <v>-3025</v>
      </c>
    </row>
    <row r="12" spans="2:7" x14ac:dyDescent="0.45">
      <c r="B12" s="1" t="s">
        <v>35</v>
      </c>
      <c r="C12" s="3">
        <v>-19054</v>
      </c>
      <c r="D12" s="3">
        <v>-3169</v>
      </c>
      <c r="E12" s="3">
        <v>-2411</v>
      </c>
      <c r="F12" s="3">
        <v>-3509</v>
      </c>
      <c r="G12" s="3">
        <v>-3025</v>
      </c>
    </row>
    <row r="13" spans="2:7" x14ac:dyDescent="0.45">
      <c r="B13" s="1" t="s">
        <v>36</v>
      </c>
      <c r="C13" s="3">
        <v>-1438</v>
      </c>
      <c r="D13" s="3">
        <v>-1437</v>
      </c>
      <c r="E13" s="3">
        <v>-1438</v>
      </c>
      <c r="F13" s="3">
        <v>-1437</v>
      </c>
      <c r="G13" s="3">
        <v>-26437</v>
      </c>
    </row>
    <row r="14" spans="2:7" x14ac:dyDescent="0.45">
      <c r="B14" s="1" t="s">
        <v>37</v>
      </c>
      <c r="C14" s="3">
        <v>-89764</v>
      </c>
      <c r="D14" s="3">
        <v>-40270</v>
      </c>
      <c r="E14" s="3">
        <v>-28682</v>
      </c>
      <c r="F14" s="3">
        <v>0</v>
      </c>
      <c r="G14" s="3">
        <v>0</v>
      </c>
    </row>
    <row r="15" spans="2:7" x14ac:dyDescent="0.45">
      <c r="B15" s="1" t="s">
        <v>38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2:7" x14ac:dyDescent="0.45">
      <c r="B16" s="1" t="s">
        <v>39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2:7" x14ac:dyDescent="0.45">
      <c r="B17" s="1" t="s">
        <v>40</v>
      </c>
      <c r="C17" s="3">
        <v>-15544</v>
      </c>
      <c r="D17" s="3">
        <v>-1372</v>
      </c>
      <c r="E17" s="3">
        <v>-12346</v>
      </c>
      <c r="F17" s="3">
        <v>-7501</v>
      </c>
      <c r="G17" s="3">
        <v>-2053</v>
      </c>
    </row>
    <row r="18" spans="2:7" x14ac:dyDescent="0.45">
      <c r="B18" s="1" t="s">
        <v>41</v>
      </c>
      <c r="C18" s="3">
        <v>-106746</v>
      </c>
      <c r="D18" s="3">
        <v>-43079</v>
      </c>
      <c r="E18" s="3">
        <v>-42466</v>
      </c>
      <c r="F18" s="3">
        <v>-8938</v>
      </c>
      <c r="G18" s="3">
        <v>-28490</v>
      </c>
    </row>
    <row r="19" spans="2:7" x14ac:dyDescent="0.45">
      <c r="B19" s="1" t="s">
        <v>42</v>
      </c>
      <c r="C19" s="3">
        <v>-32306</v>
      </c>
      <c r="D19" s="3">
        <v>-51646</v>
      </c>
      <c r="E19" s="3">
        <v>-1632</v>
      </c>
      <c r="F19" s="3">
        <v>58789</v>
      </c>
      <c r="G19" s="3">
        <v>45304</v>
      </c>
    </row>
    <row r="20" spans="2:7" x14ac:dyDescent="0.45">
      <c r="B20" s="1" t="s">
        <v>43</v>
      </c>
      <c r="C20" s="3">
        <v>-2301</v>
      </c>
      <c r="D20" s="3">
        <v>3908</v>
      </c>
      <c r="E20" s="3">
        <v>-3187</v>
      </c>
      <c r="F20" s="3">
        <v>707</v>
      </c>
      <c r="G20" s="3">
        <v>840</v>
      </c>
    </row>
    <row r="21" spans="2:7" x14ac:dyDescent="0.45">
      <c r="B21" s="1" t="s">
        <v>44</v>
      </c>
      <c r="C21" s="3">
        <v>286664</v>
      </c>
      <c r="D21" s="3">
        <v>252057</v>
      </c>
      <c r="E21" s="3">
        <v>207062</v>
      </c>
      <c r="F21" s="3">
        <v>202243</v>
      </c>
      <c r="G21" s="3">
        <v>261739</v>
      </c>
    </row>
    <row r="22" spans="2:7" x14ac:dyDescent="0.45">
      <c r="B22" s="1" t="s">
        <v>45</v>
      </c>
      <c r="C22" s="3">
        <v>252057</v>
      </c>
      <c r="D22" s="3">
        <v>204319</v>
      </c>
      <c r="E22" s="3">
        <v>202243</v>
      </c>
      <c r="F22" s="3">
        <v>261739</v>
      </c>
      <c r="G22" s="3">
        <v>307883</v>
      </c>
    </row>
    <row r="23" spans="2:7" x14ac:dyDescent="0.45">
      <c r="B23" s="1" t="s">
        <v>46</v>
      </c>
      <c r="C23" s="3">
        <v>93494</v>
      </c>
      <c r="D23" s="3">
        <v>-5398</v>
      </c>
      <c r="E23" s="3">
        <v>43245</v>
      </c>
      <c r="F23" s="3">
        <v>71236</v>
      </c>
      <c r="G23" s="3">
        <v>76819</v>
      </c>
    </row>
    <row r="24" spans="2:7" x14ac:dyDescent="0.45">
      <c r="B24" s="1" t="s">
        <v>47</v>
      </c>
      <c r="C24" s="3">
        <v>-19054</v>
      </c>
      <c r="D24" s="3">
        <v>-3169</v>
      </c>
      <c r="E24" s="3">
        <v>-2411</v>
      </c>
      <c r="F24" s="3">
        <v>-3509</v>
      </c>
      <c r="G24" s="3">
        <v>-3025</v>
      </c>
    </row>
    <row r="25" spans="2:7" x14ac:dyDescent="0.45">
      <c r="B25" s="1" t="s">
        <v>48</v>
      </c>
      <c r="C25" s="3">
        <f>C23</f>
        <v>93494</v>
      </c>
      <c r="D25" s="3">
        <f>D23</f>
        <v>-5398</v>
      </c>
      <c r="E25" s="3">
        <f>E23</f>
        <v>43245</v>
      </c>
      <c r="F25" s="3">
        <f>F23</f>
        <v>71236</v>
      </c>
      <c r="G25" s="3">
        <f>G23</f>
        <v>76819</v>
      </c>
    </row>
    <row r="26" spans="2:7" x14ac:dyDescent="0.45">
      <c r="B26" s="1"/>
      <c r="C26" s="3"/>
      <c r="D26" s="3"/>
      <c r="E26" s="3"/>
      <c r="F26" s="3"/>
      <c r="G26" s="3"/>
    </row>
    <row r="27" spans="2:7" x14ac:dyDescent="0.45">
      <c r="B27" s="1"/>
      <c r="C27" s="3"/>
      <c r="D27" s="3"/>
      <c r="E27" s="3"/>
      <c r="F27" s="3"/>
      <c r="G27" s="3"/>
    </row>
    <row r="28" spans="2:7" x14ac:dyDescent="0.45">
      <c r="B28" s="1" t="s">
        <v>49</v>
      </c>
      <c r="C28" s="5">
        <v>0</v>
      </c>
      <c r="D28" s="5">
        <v>0</v>
      </c>
      <c r="E28" s="5">
        <v>0</v>
      </c>
      <c r="F28" s="5">
        <v>0.64729999999999999</v>
      </c>
      <c r="G28" s="5">
        <v>7.8399999999999997E-2</v>
      </c>
    </row>
    <row r="29" spans="2:7" x14ac:dyDescent="0.45">
      <c r="B29" s="1" t="s">
        <v>50</v>
      </c>
      <c r="C29" s="5">
        <v>0</v>
      </c>
      <c r="D29" s="5">
        <v>-0.8337</v>
      </c>
      <c r="E29" s="5">
        <v>-0.2392</v>
      </c>
      <c r="F29" s="5">
        <v>0.45540000000000003</v>
      </c>
      <c r="G29" s="5">
        <v>-0.13789999999999999</v>
      </c>
    </row>
    <row r="30" spans="2:7" x14ac:dyDescent="0.45">
      <c r="B30" s="1" t="s">
        <v>51</v>
      </c>
      <c r="C30" s="5">
        <v>0</v>
      </c>
      <c r="D30" s="5">
        <v>0</v>
      </c>
      <c r="E30" s="5">
        <v>0</v>
      </c>
      <c r="F30" s="5">
        <v>0.65859999999999996</v>
      </c>
      <c r="G30" s="5">
        <v>8.9600000000000013E-2</v>
      </c>
    </row>
    <row r="31" spans="2:7" x14ac:dyDescent="0.45">
      <c r="B31" s="1" t="s">
        <v>52</v>
      </c>
      <c r="C31" s="5">
        <v>0.79620000000000002</v>
      </c>
      <c r="D31" s="5">
        <v>0</v>
      </c>
      <c r="E31" s="5">
        <v>0.94420000000000004</v>
      </c>
      <c r="F31" s="5">
        <v>0.95069999999999988</v>
      </c>
      <c r="G31" s="5">
        <v>0.96060000000000001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F40"/>
  <sheetViews>
    <sheetView workbookViewId="0"/>
  </sheetViews>
  <sheetFormatPr defaultRowHeight="14.25" x14ac:dyDescent="0.45"/>
  <cols>
    <col min="2" max="2" width="28.73046875" customWidth="1"/>
  </cols>
  <sheetData>
    <row r="2" spans="2:6" x14ac:dyDescent="0.45">
      <c r="C2" s="4">
        <v>2021</v>
      </c>
      <c r="D2" s="4">
        <v>2022</v>
      </c>
      <c r="E2" s="4">
        <v>2023</v>
      </c>
      <c r="F2" s="4">
        <v>2024</v>
      </c>
    </row>
    <row r="3" spans="2:6" x14ac:dyDescent="0.45">
      <c r="B3" s="1" t="s">
        <v>53</v>
      </c>
      <c r="C3" s="3">
        <v>369175</v>
      </c>
      <c r="D3" s="3">
        <v>402559</v>
      </c>
      <c r="E3" s="3">
        <v>355642</v>
      </c>
      <c r="F3" s="3">
        <v>204319</v>
      </c>
    </row>
    <row r="4" spans="2:6" x14ac:dyDescent="0.45">
      <c r="B4" s="1" t="s">
        <v>54</v>
      </c>
      <c r="C4" s="3">
        <v>47538</v>
      </c>
      <c r="D4" s="3">
        <v>66930</v>
      </c>
      <c r="E4" s="3">
        <v>102677</v>
      </c>
      <c r="F4" s="3">
        <v>99687</v>
      </c>
    </row>
    <row r="5" spans="2:6" x14ac:dyDescent="0.45">
      <c r="B5" s="1" t="s">
        <v>55</v>
      </c>
      <c r="C5" s="3">
        <v>0</v>
      </c>
      <c r="D5" s="3">
        <v>0</v>
      </c>
      <c r="E5" s="3">
        <v>0</v>
      </c>
      <c r="F5" s="3">
        <v>0</v>
      </c>
    </row>
    <row r="6" spans="2:6" x14ac:dyDescent="0.45">
      <c r="B6" s="1" t="s">
        <v>56</v>
      </c>
      <c r="C6" s="3">
        <v>52751</v>
      </c>
      <c r="D6" s="3">
        <v>31882</v>
      </c>
      <c r="E6" s="3">
        <v>34732</v>
      </c>
      <c r="F6" s="3">
        <v>38236</v>
      </c>
    </row>
    <row r="7" spans="2:6" x14ac:dyDescent="0.45">
      <c r="B7" s="1" t="s">
        <v>57</v>
      </c>
      <c r="C7" s="3">
        <v>469464</v>
      </c>
      <c r="D7" s="3">
        <v>501371</v>
      </c>
      <c r="E7" s="3">
        <v>493051</v>
      </c>
      <c r="F7" s="3">
        <v>342242</v>
      </c>
    </row>
    <row r="8" spans="2:6" x14ac:dyDescent="0.45">
      <c r="B8" s="1" t="s">
        <v>58</v>
      </c>
      <c r="C8" s="3">
        <v>41037</v>
      </c>
      <c r="D8" s="3">
        <v>31886</v>
      </c>
      <c r="E8" s="3">
        <v>27887</v>
      </c>
      <c r="F8" s="3">
        <v>19727</v>
      </c>
    </row>
    <row r="9" spans="2:6" x14ac:dyDescent="0.45">
      <c r="B9" s="1" t="s">
        <v>59</v>
      </c>
      <c r="C9" s="3">
        <v>1540112</v>
      </c>
      <c r="D9" s="3">
        <v>1579770</v>
      </c>
      <c r="E9" s="3">
        <v>1585750</v>
      </c>
      <c r="F9" s="3">
        <v>1386229</v>
      </c>
    </row>
    <row r="10" spans="2:6" x14ac:dyDescent="0.45">
      <c r="B10" s="1" t="s">
        <v>60</v>
      </c>
      <c r="C10" s="3">
        <v>1726383</v>
      </c>
      <c r="D10" s="3">
        <v>1579594</v>
      </c>
      <c r="E10" s="3">
        <v>1518439</v>
      </c>
      <c r="F10" s="3">
        <v>776689</v>
      </c>
    </row>
    <row r="11" spans="2:6" x14ac:dyDescent="0.45">
      <c r="B11" s="1" t="s">
        <v>61</v>
      </c>
      <c r="C11" s="3">
        <v>3307532</v>
      </c>
      <c r="D11" s="3">
        <v>3191250</v>
      </c>
      <c r="E11" s="3">
        <v>3132076</v>
      </c>
      <c r="F11" s="3">
        <v>2182645</v>
      </c>
    </row>
    <row r="12" spans="2:6" x14ac:dyDescent="0.45">
      <c r="B12" s="1" t="s">
        <v>62</v>
      </c>
      <c r="C12" s="3">
        <f>C7+C11</f>
        <v>3776996</v>
      </c>
      <c r="D12" s="3">
        <f>D7+D11</f>
        <v>3692621</v>
      </c>
      <c r="E12" s="3">
        <f>E7+E11</f>
        <v>3625127</v>
      </c>
      <c r="F12" s="3">
        <f>F7+F11</f>
        <v>2524887</v>
      </c>
    </row>
    <row r="13" spans="2:6" x14ac:dyDescent="0.45">
      <c r="B13" s="1" t="s">
        <v>63</v>
      </c>
      <c r="C13" s="3">
        <v>19169</v>
      </c>
      <c r="D13" s="3">
        <v>3367</v>
      </c>
      <c r="E13" s="3">
        <v>4611</v>
      </c>
      <c r="F13" s="3">
        <v>6609</v>
      </c>
    </row>
    <row r="14" spans="2:6" x14ac:dyDescent="0.45">
      <c r="B14" s="1" t="s">
        <v>64</v>
      </c>
      <c r="C14" s="3">
        <v>9648</v>
      </c>
      <c r="D14" s="3">
        <v>8885</v>
      </c>
      <c r="E14" s="3">
        <v>6921</v>
      </c>
      <c r="F14" s="3">
        <v>8849</v>
      </c>
    </row>
    <row r="15" spans="2:6" x14ac:dyDescent="0.45">
      <c r="B15" s="1" t="s">
        <v>65</v>
      </c>
      <c r="C15" s="3">
        <v>147153</v>
      </c>
      <c r="D15" s="3">
        <v>199416</v>
      </c>
      <c r="E15" s="3">
        <v>233377</v>
      </c>
      <c r="F15" s="3">
        <v>123112</v>
      </c>
    </row>
    <row r="16" spans="2:6" x14ac:dyDescent="0.45">
      <c r="B16" s="1" t="s">
        <v>66</v>
      </c>
      <c r="C16" s="3">
        <v>175970</v>
      </c>
      <c r="D16" s="3">
        <v>211668</v>
      </c>
      <c r="E16" s="3">
        <v>244909</v>
      </c>
      <c r="F16" s="3">
        <v>138570</v>
      </c>
    </row>
    <row r="17" spans="2:6" x14ac:dyDescent="0.45">
      <c r="B17" s="1" t="s">
        <v>67</v>
      </c>
      <c r="C17" s="3">
        <v>644942</v>
      </c>
      <c r="D17" s="3">
        <v>632973</v>
      </c>
      <c r="E17" s="3">
        <v>628449</v>
      </c>
      <c r="F17" s="3">
        <v>620667</v>
      </c>
    </row>
    <row r="18" spans="2:6" x14ac:dyDescent="0.45">
      <c r="B18" s="1" t="s">
        <v>68</v>
      </c>
      <c r="C18" s="3">
        <v>486315</v>
      </c>
      <c r="D18" s="3">
        <v>394401</v>
      </c>
      <c r="E18" s="3">
        <v>414496</v>
      </c>
      <c r="F18" s="3">
        <v>416596</v>
      </c>
    </row>
    <row r="19" spans="2:6" x14ac:dyDescent="0.45">
      <c r="B19" s="1" t="s">
        <v>69</v>
      </c>
      <c r="C19" s="3">
        <v>1131257</v>
      </c>
      <c r="D19" s="3">
        <v>1027374</v>
      </c>
      <c r="E19" s="3">
        <v>1042945</v>
      </c>
      <c r="F19" s="3">
        <v>1037263</v>
      </c>
    </row>
    <row r="20" spans="2:6" x14ac:dyDescent="0.45">
      <c r="B20" s="1" t="s">
        <v>70</v>
      </c>
      <c r="C20" s="3">
        <f>C16+C19</f>
        <v>1307227</v>
      </c>
      <c r="D20" s="3">
        <f>D16+D19</f>
        <v>1239042</v>
      </c>
      <c r="E20" s="3">
        <f>E16+E19</f>
        <v>1287854</v>
      </c>
      <c r="F20" s="3">
        <f>F16+F19</f>
        <v>1175833</v>
      </c>
    </row>
    <row r="21" spans="2:6" x14ac:dyDescent="0.45">
      <c r="B21" s="1" t="s">
        <v>71</v>
      </c>
      <c r="C21" s="3">
        <v>1588426</v>
      </c>
      <c r="D21" s="3">
        <v>1691911</v>
      </c>
      <c r="E21" s="3">
        <v>1772449</v>
      </c>
      <c r="F21" s="3">
        <v>1453483</v>
      </c>
    </row>
    <row r="22" spans="2:6" x14ac:dyDescent="0.45">
      <c r="B22" s="1" t="s">
        <v>72</v>
      </c>
      <c r="C22" s="3">
        <v>-60125</v>
      </c>
      <c r="D22" s="3">
        <v>-139871</v>
      </c>
      <c r="E22" s="3">
        <v>-144084</v>
      </c>
      <c r="F22" s="3">
        <v>-701092</v>
      </c>
    </row>
    <row r="23" spans="2:6" x14ac:dyDescent="0.45">
      <c r="B23" s="1" t="s">
        <v>73</v>
      </c>
      <c r="C23" s="3">
        <v>79895</v>
      </c>
      <c r="D23" s="3">
        <v>75775</v>
      </c>
      <c r="E23" s="3">
        <v>6650</v>
      </c>
      <c r="F23" s="3">
        <v>72144</v>
      </c>
    </row>
    <row r="24" spans="2:6" x14ac:dyDescent="0.45">
      <c r="B24" s="1" t="s">
        <v>74</v>
      </c>
      <c r="C24" s="3">
        <v>1608196</v>
      </c>
      <c r="D24" s="3">
        <v>1627815</v>
      </c>
      <c r="E24" s="3">
        <v>1635015</v>
      </c>
      <c r="F24" s="3">
        <v>824535</v>
      </c>
    </row>
    <row r="25" spans="2:6" x14ac:dyDescent="0.45">
      <c r="B25" s="1" t="s">
        <v>75</v>
      </c>
      <c r="C25" s="3">
        <v>861573</v>
      </c>
      <c r="D25" s="3">
        <v>825764</v>
      </c>
      <c r="E25" s="3">
        <v>702258</v>
      </c>
      <c r="F25" s="3">
        <v>524519</v>
      </c>
    </row>
    <row r="26" spans="2:6" x14ac:dyDescent="0.45">
      <c r="B26" s="1" t="s">
        <v>76</v>
      </c>
      <c r="C26" s="3">
        <f>C12+C20</f>
        <v>5084223</v>
      </c>
      <c r="D26" s="3">
        <f>D12+D20</f>
        <v>4931663</v>
      </c>
      <c r="E26" s="3">
        <f>E12+E20</f>
        <v>4912981</v>
      </c>
      <c r="F26" s="3">
        <f>F12+F20</f>
        <v>3700720</v>
      </c>
    </row>
    <row r="27" spans="2:6" x14ac:dyDescent="0.45">
      <c r="B27" s="1" t="s">
        <v>77</v>
      </c>
      <c r="C27" s="3">
        <v>1608196</v>
      </c>
      <c r="D27" s="3">
        <v>1627815</v>
      </c>
      <c r="E27" s="3">
        <v>1635015</v>
      </c>
      <c r="F27" s="3">
        <v>824535</v>
      </c>
    </row>
    <row r="28" spans="2:6" x14ac:dyDescent="0.45">
      <c r="B28" s="1" t="s">
        <v>78</v>
      </c>
      <c r="C28" s="3">
        <v>654590</v>
      </c>
      <c r="D28" s="3">
        <v>641858</v>
      </c>
      <c r="E28" s="3">
        <v>635370</v>
      </c>
      <c r="F28" s="3">
        <v>629516</v>
      </c>
    </row>
    <row r="29" spans="2:6" x14ac:dyDescent="0.45">
      <c r="B29" s="1" t="s">
        <v>79</v>
      </c>
      <c r="C29" s="3">
        <v>285415</v>
      </c>
      <c r="D29" s="3">
        <v>239299</v>
      </c>
      <c r="E29" s="3">
        <v>279728</v>
      </c>
      <c r="F29" s="3">
        <v>425197</v>
      </c>
    </row>
    <row r="30" spans="2:6" x14ac:dyDescent="0.45">
      <c r="B30" s="1" t="s">
        <v>80</v>
      </c>
      <c r="C30" s="3">
        <v>41037</v>
      </c>
      <c r="D30" s="3">
        <v>31886</v>
      </c>
      <c r="E30" s="3">
        <v>27887</v>
      </c>
      <c r="F30" s="3">
        <v>19727</v>
      </c>
    </row>
    <row r="31" spans="2:6" x14ac:dyDescent="0.45">
      <c r="B31" s="1" t="s">
        <v>81</v>
      </c>
      <c r="C31" s="3">
        <v>2729575</v>
      </c>
      <c r="D31" s="3">
        <v>2675993</v>
      </c>
      <c r="E31" s="3">
        <v>2602557</v>
      </c>
      <c r="F31" s="3">
        <v>1761831</v>
      </c>
    </row>
    <row r="32" spans="2:6" x14ac:dyDescent="0.45">
      <c r="B32" s="1" t="s">
        <v>82</v>
      </c>
      <c r="C32" s="3">
        <v>-837763</v>
      </c>
      <c r="D32" s="3">
        <v>-737671</v>
      </c>
      <c r="E32" s="3">
        <v>-794803</v>
      </c>
      <c r="F32" s="3">
        <v>-833591</v>
      </c>
    </row>
    <row r="33" spans="2:6" x14ac:dyDescent="0.45">
      <c r="B33" s="1" t="s">
        <v>83</v>
      </c>
      <c r="C33" s="3">
        <v>129213</v>
      </c>
      <c r="D33" s="3">
        <v>129774</v>
      </c>
      <c r="E33" s="3">
        <v>130688</v>
      </c>
      <c r="F33" s="3">
        <v>107108</v>
      </c>
    </row>
    <row r="34" spans="2:6" x14ac:dyDescent="0.45">
      <c r="B34" s="1"/>
      <c r="C34" s="3"/>
      <c r="D34" s="3"/>
      <c r="E34" s="3"/>
      <c r="F34" s="3"/>
    </row>
    <row r="35" spans="2:6" x14ac:dyDescent="0.45">
      <c r="B35" s="1"/>
      <c r="C35" s="3"/>
      <c r="D35" s="3"/>
      <c r="E35" s="3"/>
      <c r="F35" s="3"/>
    </row>
    <row r="36" spans="2:6" x14ac:dyDescent="0.45">
      <c r="B36" s="1" t="s">
        <v>84</v>
      </c>
      <c r="C36" s="5">
        <v>0.26500000000000001</v>
      </c>
      <c r="D36" s="5">
        <v>0.2616</v>
      </c>
      <c r="E36" s="5">
        <v>0.27179999999999999</v>
      </c>
      <c r="F36" s="5">
        <v>0.46660000000000001</v>
      </c>
    </row>
    <row r="37" spans="2:6" x14ac:dyDescent="0.45">
      <c r="B37" s="1" t="s">
        <v>85</v>
      </c>
      <c r="C37" s="5">
        <v>0</v>
      </c>
      <c r="D37" s="5">
        <v>-2.23E-2</v>
      </c>
      <c r="E37" s="5">
        <v>-1.83E-2</v>
      </c>
      <c r="F37" s="5">
        <v>-0.30349999999999999</v>
      </c>
    </row>
    <row r="38" spans="2:6" x14ac:dyDescent="0.45">
      <c r="B38" s="1" t="s">
        <v>86</v>
      </c>
      <c r="C38" s="5">
        <v>0</v>
      </c>
      <c r="D38" s="5">
        <v>-0.223</v>
      </c>
      <c r="E38" s="5">
        <v>-0.12540000000000001</v>
      </c>
      <c r="F38" s="5">
        <v>-0.29260000000000003</v>
      </c>
    </row>
    <row r="39" spans="2:6" x14ac:dyDescent="0.45">
      <c r="B39" s="1" t="s">
        <v>87</v>
      </c>
      <c r="C39" s="5">
        <v>0</v>
      </c>
      <c r="D39" s="5">
        <v>1.2200000000000001E-2</v>
      </c>
      <c r="E39" s="5">
        <v>4.4000000000000003E-3</v>
      </c>
      <c r="F39" s="5">
        <v>-0.49569999999999997</v>
      </c>
    </row>
    <row r="40" spans="2:6" x14ac:dyDescent="0.45">
      <c r="B40" s="1" t="s">
        <v>88</v>
      </c>
      <c r="C40" s="5">
        <v>0</v>
      </c>
      <c r="D40" s="5">
        <v>-1.9599999999999999E-2</v>
      </c>
      <c r="E40" s="5">
        <v>-2.7400000000000001E-2</v>
      </c>
      <c r="F40" s="5">
        <v>-0.32300000000000001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G40"/>
  <sheetViews>
    <sheetView workbookViewId="0"/>
  </sheetViews>
  <sheetFormatPr defaultRowHeight="14.25" x14ac:dyDescent="0.45"/>
  <cols>
    <col min="2" max="2" width="28.73046875" customWidth="1"/>
  </cols>
  <sheetData>
    <row r="2" spans="2:7" x14ac:dyDescent="0.45"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</row>
    <row r="3" spans="2:7" x14ac:dyDescent="0.45">
      <c r="B3" s="1" t="s">
        <v>53</v>
      </c>
      <c r="C3" s="3">
        <v>252057</v>
      </c>
      <c r="D3" s="3">
        <v>204319</v>
      </c>
      <c r="E3" s="3">
        <v>202243</v>
      </c>
      <c r="F3" s="3">
        <v>261739</v>
      </c>
      <c r="G3" s="3">
        <v>307883</v>
      </c>
    </row>
    <row r="4" spans="2:7" x14ac:dyDescent="0.45">
      <c r="B4" s="1" t="s">
        <v>54</v>
      </c>
      <c r="C4" s="3">
        <v>102547</v>
      </c>
      <c r="D4" s="3">
        <v>99687</v>
      </c>
      <c r="E4" s="3">
        <v>98059</v>
      </c>
      <c r="F4" s="3">
        <v>97395</v>
      </c>
      <c r="G4" s="3">
        <v>92502</v>
      </c>
    </row>
    <row r="5" spans="2:7" x14ac:dyDescent="0.45">
      <c r="B5" s="1" t="s">
        <v>55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2:7" x14ac:dyDescent="0.45">
      <c r="B6" s="1" t="s">
        <v>56</v>
      </c>
      <c r="C6" s="3">
        <v>28725</v>
      </c>
      <c r="D6" s="3">
        <v>38236</v>
      </c>
      <c r="E6" s="3">
        <v>37551</v>
      </c>
      <c r="F6" s="3">
        <v>38933</v>
      </c>
      <c r="G6" s="3">
        <v>36961</v>
      </c>
    </row>
    <row r="7" spans="2:7" x14ac:dyDescent="0.45">
      <c r="B7" s="1" t="s">
        <v>57</v>
      </c>
      <c r="C7" s="3">
        <v>383329</v>
      </c>
      <c r="D7" s="3">
        <v>342242</v>
      </c>
      <c r="E7" s="3">
        <v>337853</v>
      </c>
      <c r="F7" s="3">
        <v>398067</v>
      </c>
      <c r="G7" s="3">
        <v>437346</v>
      </c>
    </row>
    <row r="8" spans="2:7" x14ac:dyDescent="0.45">
      <c r="B8" s="1" t="s">
        <v>58</v>
      </c>
      <c r="C8" s="3">
        <v>22277</v>
      </c>
      <c r="D8" s="3">
        <v>19727</v>
      </c>
      <c r="E8" s="3">
        <v>18761</v>
      </c>
      <c r="F8" s="3">
        <v>19412</v>
      </c>
      <c r="G8" s="3">
        <v>17144</v>
      </c>
    </row>
    <row r="9" spans="2:7" x14ac:dyDescent="0.45">
      <c r="B9" s="1" t="s">
        <v>59</v>
      </c>
      <c r="C9" s="3">
        <v>1389002</v>
      </c>
      <c r="D9" s="3">
        <v>1386229</v>
      </c>
      <c r="E9" s="3">
        <v>1387713</v>
      </c>
      <c r="F9" s="3">
        <v>1129007</v>
      </c>
      <c r="G9" s="3">
        <v>1129007</v>
      </c>
    </row>
    <row r="10" spans="2:7" x14ac:dyDescent="0.45">
      <c r="B10" s="1" t="s">
        <v>60</v>
      </c>
      <c r="C10" s="3">
        <v>794804</v>
      </c>
      <c r="D10" s="3">
        <v>776689</v>
      </c>
      <c r="E10" s="3">
        <v>763965</v>
      </c>
      <c r="F10" s="3">
        <v>615009</v>
      </c>
      <c r="G10" s="3">
        <v>609355</v>
      </c>
    </row>
    <row r="11" spans="2:7" x14ac:dyDescent="0.45">
      <c r="B11" s="1" t="s">
        <v>61</v>
      </c>
      <c r="C11" s="3">
        <v>2206083</v>
      </c>
      <c r="D11" s="3">
        <v>2182645</v>
      </c>
      <c r="E11" s="3">
        <v>2170439</v>
      </c>
      <c r="F11" s="3">
        <v>1763428</v>
      </c>
      <c r="G11" s="3">
        <v>1755506</v>
      </c>
    </row>
    <row r="12" spans="2:7" x14ac:dyDescent="0.45">
      <c r="B12" s="1" t="s">
        <v>62</v>
      </c>
      <c r="C12" s="3">
        <f>C7+C11</f>
        <v>2589412</v>
      </c>
      <c r="D12" s="3">
        <f>D7+D11</f>
        <v>2524887</v>
      </c>
      <c r="E12" s="3">
        <f>E7+E11</f>
        <v>2508292</v>
      </c>
      <c r="F12" s="3">
        <f>F7+F11</f>
        <v>2161495</v>
      </c>
      <c r="G12" s="3">
        <f>G7+G11</f>
        <v>2192852</v>
      </c>
    </row>
    <row r="13" spans="2:7" x14ac:dyDescent="0.45">
      <c r="B13" s="1" t="s">
        <v>63</v>
      </c>
      <c r="C13" s="3">
        <v>6830</v>
      </c>
      <c r="D13" s="3">
        <v>6609</v>
      </c>
      <c r="E13" s="3">
        <v>4803</v>
      </c>
      <c r="F13" s="3">
        <v>8867</v>
      </c>
      <c r="G13" s="3">
        <v>3708</v>
      </c>
    </row>
    <row r="14" spans="2:7" x14ac:dyDescent="0.45">
      <c r="B14" s="1" t="s">
        <v>64</v>
      </c>
      <c r="C14" s="3">
        <v>8302</v>
      </c>
      <c r="D14" s="3">
        <v>8849</v>
      </c>
      <c r="E14" s="3">
        <v>8989</v>
      </c>
      <c r="F14" s="3">
        <v>9173</v>
      </c>
      <c r="G14" s="3">
        <v>9143</v>
      </c>
    </row>
    <row r="15" spans="2:7" x14ac:dyDescent="0.45">
      <c r="B15" s="1" t="s">
        <v>65</v>
      </c>
      <c r="C15" s="3">
        <v>167860</v>
      </c>
      <c r="D15" s="3">
        <v>123112</v>
      </c>
      <c r="E15" s="3">
        <v>105670</v>
      </c>
      <c r="F15" s="3">
        <v>102455</v>
      </c>
      <c r="G15" s="3">
        <v>110331</v>
      </c>
    </row>
    <row r="16" spans="2:7" x14ac:dyDescent="0.45">
      <c r="B16" s="1" t="s">
        <v>66</v>
      </c>
      <c r="C16" s="3">
        <v>182992</v>
      </c>
      <c r="D16" s="3">
        <v>138570</v>
      </c>
      <c r="E16" s="3">
        <v>119462</v>
      </c>
      <c r="F16" s="3">
        <v>120495</v>
      </c>
      <c r="G16" s="3">
        <v>123182</v>
      </c>
    </row>
    <row r="17" spans="2:7" x14ac:dyDescent="0.45">
      <c r="B17" s="1" t="s">
        <v>67</v>
      </c>
      <c r="C17" s="3">
        <v>623599</v>
      </c>
      <c r="D17" s="3">
        <v>620667</v>
      </c>
      <c r="E17" s="3">
        <v>619146</v>
      </c>
      <c r="F17" s="3">
        <v>617816</v>
      </c>
      <c r="G17" s="3">
        <v>590933</v>
      </c>
    </row>
    <row r="18" spans="2:7" x14ac:dyDescent="0.45">
      <c r="B18" s="1" t="s">
        <v>68</v>
      </c>
      <c r="C18" s="3">
        <v>415958</v>
      </c>
      <c r="D18" s="3">
        <v>416596</v>
      </c>
      <c r="E18" s="3">
        <v>415443</v>
      </c>
      <c r="F18" s="3">
        <v>418691</v>
      </c>
      <c r="G18" s="3">
        <v>441697</v>
      </c>
    </row>
    <row r="19" spans="2:7" x14ac:dyDescent="0.45">
      <c r="B19" s="1" t="s">
        <v>69</v>
      </c>
      <c r="C19" s="3">
        <v>1039557</v>
      </c>
      <c r="D19" s="3">
        <v>1037263</v>
      </c>
      <c r="E19" s="3">
        <v>1034589</v>
      </c>
      <c r="F19" s="3">
        <v>1036507</v>
      </c>
      <c r="G19" s="3">
        <v>1032630</v>
      </c>
    </row>
    <row r="20" spans="2:7" x14ac:dyDescent="0.45">
      <c r="B20" s="1" t="s">
        <v>70</v>
      </c>
      <c r="C20" s="3">
        <f>C16+C19</f>
        <v>1222549</v>
      </c>
      <c r="D20" s="3">
        <f>D16+D19</f>
        <v>1175833</v>
      </c>
      <c r="E20" s="3">
        <f>E16+E19</f>
        <v>1154051</v>
      </c>
      <c r="F20" s="3">
        <f>F16+F19</f>
        <v>1157002</v>
      </c>
      <c r="G20" s="3">
        <f>G16+G19</f>
        <v>1155812</v>
      </c>
    </row>
    <row r="21" spans="2:7" x14ac:dyDescent="0.45">
      <c r="B21" s="1" t="s">
        <v>71</v>
      </c>
      <c r="C21" s="3">
        <v>1749314</v>
      </c>
      <c r="D21" s="3">
        <v>1453483</v>
      </c>
      <c r="E21" s="3">
        <v>1381083</v>
      </c>
      <c r="F21" s="3">
        <v>1384634</v>
      </c>
      <c r="G21" s="3">
        <v>1441020</v>
      </c>
    </row>
    <row r="22" spans="2:7" x14ac:dyDescent="0.45">
      <c r="B22" s="1" t="s">
        <v>72</v>
      </c>
      <c r="C22" s="3">
        <v>-705271</v>
      </c>
      <c r="D22" s="3">
        <v>-701092</v>
      </c>
      <c r="E22" s="3">
        <v>-687648</v>
      </c>
      <c r="F22" s="3">
        <v>-941392</v>
      </c>
      <c r="G22" s="3">
        <v>-904054</v>
      </c>
    </row>
    <row r="23" spans="2:7" x14ac:dyDescent="0.45">
      <c r="B23" s="1" t="s">
        <v>73</v>
      </c>
      <c r="C23" s="3">
        <v>-191481</v>
      </c>
      <c r="D23" s="3">
        <v>72144</v>
      </c>
      <c r="E23" s="3">
        <v>121079</v>
      </c>
      <c r="F23" s="3">
        <v>134369</v>
      </c>
      <c r="G23" s="3">
        <v>138496</v>
      </c>
    </row>
    <row r="24" spans="2:7" x14ac:dyDescent="0.45">
      <c r="B24" s="1" t="s">
        <v>74</v>
      </c>
      <c r="C24" s="3">
        <v>852562</v>
      </c>
      <c r="D24" s="3">
        <v>824535</v>
      </c>
      <c r="E24" s="3">
        <v>814514</v>
      </c>
      <c r="F24" s="3">
        <v>577611</v>
      </c>
      <c r="G24" s="3">
        <v>675462</v>
      </c>
    </row>
    <row r="25" spans="2:7" x14ac:dyDescent="0.45">
      <c r="B25" s="1" t="s">
        <v>75</v>
      </c>
      <c r="C25" s="3">
        <v>514301</v>
      </c>
      <c r="D25" s="3">
        <v>524519</v>
      </c>
      <c r="E25" s="3">
        <v>539727</v>
      </c>
      <c r="F25" s="3">
        <v>426882</v>
      </c>
      <c r="G25" s="3">
        <v>361578</v>
      </c>
    </row>
    <row r="26" spans="2:7" x14ac:dyDescent="0.45">
      <c r="B26" s="1" t="s">
        <v>76</v>
      </c>
      <c r="C26" s="3">
        <f>C12+C20</f>
        <v>3811961</v>
      </c>
      <c r="D26" s="3">
        <f>D12+D20</f>
        <v>3700720</v>
      </c>
      <c r="E26" s="3">
        <f>E12+E20</f>
        <v>3662343</v>
      </c>
      <c r="F26" s="3">
        <f>F12+F20</f>
        <v>3318497</v>
      </c>
      <c r="G26" s="3">
        <f>G12+G20</f>
        <v>3348664</v>
      </c>
    </row>
    <row r="27" spans="2:7" x14ac:dyDescent="0.45">
      <c r="B27" s="1" t="s">
        <v>77</v>
      </c>
      <c r="C27" s="3">
        <v>852562</v>
      </c>
      <c r="D27" s="3">
        <v>824535</v>
      </c>
      <c r="E27" s="3">
        <v>814514</v>
      </c>
      <c r="F27" s="3">
        <v>577611</v>
      </c>
      <c r="G27" s="3">
        <v>675462</v>
      </c>
    </row>
    <row r="28" spans="2:7" x14ac:dyDescent="0.45">
      <c r="B28" s="1" t="s">
        <v>78</v>
      </c>
      <c r="C28" s="3">
        <v>631901</v>
      </c>
      <c r="D28" s="3">
        <v>629516</v>
      </c>
      <c r="E28" s="3">
        <v>628135</v>
      </c>
      <c r="F28" s="3">
        <v>626989</v>
      </c>
      <c r="G28" s="3">
        <v>600076</v>
      </c>
    </row>
    <row r="29" spans="2:7" x14ac:dyDescent="0.45">
      <c r="B29" s="1" t="s">
        <v>79</v>
      </c>
      <c r="C29" s="3">
        <v>379844</v>
      </c>
      <c r="D29" s="3">
        <v>425197</v>
      </c>
      <c r="E29" s="3">
        <v>425892</v>
      </c>
      <c r="F29" s="3">
        <v>365250</v>
      </c>
      <c r="G29" s="3">
        <v>292193</v>
      </c>
    </row>
    <row r="30" spans="2:7" x14ac:dyDescent="0.45">
      <c r="B30" s="1" t="s">
        <v>80</v>
      </c>
      <c r="C30" s="3">
        <v>22277</v>
      </c>
      <c r="D30" s="3">
        <v>19727</v>
      </c>
      <c r="E30" s="3">
        <v>18761</v>
      </c>
      <c r="F30" s="3">
        <v>19412</v>
      </c>
      <c r="G30" s="3">
        <v>17144</v>
      </c>
    </row>
    <row r="31" spans="2:7" x14ac:dyDescent="0.45">
      <c r="B31" s="1" t="s">
        <v>81</v>
      </c>
      <c r="C31" s="3">
        <v>1732787</v>
      </c>
      <c r="D31" s="3">
        <v>1761831</v>
      </c>
      <c r="E31" s="3">
        <v>1768124</v>
      </c>
      <c r="F31" s="3">
        <v>1357922</v>
      </c>
      <c r="G31" s="3">
        <v>1318509</v>
      </c>
    </row>
    <row r="32" spans="2:7" x14ac:dyDescent="0.45">
      <c r="B32" s="1" t="s">
        <v>82</v>
      </c>
      <c r="C32" s="3">
        <v>-839220</v>
      </c>
      <c r="D32" s="3">
        <v>-833591</v>
      </c>
      <c r="E32" s="3">
        <v>-816198</v>
      </c>
      <c r="F32" s="3">
        <v>-758935</v>
      </c>
      <c r="G32" s="3">
        <v>-718466</v>
      </c>
    </row>
    <row r="33" spans="2:7" x14ac:dyDescent="0.45">
      <c r="B33" s="1" t="s">
        <v>83</v>
      </c>
      <c r="C33" s="3">
        <v>112558</v>
      </c>
      <c r="D33" s="3">
        <v>107108</v>
      </c>
      <c r="E33" s="3">
        <v>103193</v>
      </c>
      <c r="F33" s="3">
        <v>103952</v>
      </c>
      <c r="G33" s="3">
        <v>112694</v>
      </c>
    </row>
    <row r="34" spans="2:7" x14ac:dyDescent="0.45">
      <c r="B34" s="1"/>
      <c r="C34" s="3"/>
      <c r="D34" s="3"/>
      <c r="E34" s="3"/>
      <c r="F34" s="3"/>
      <c r="G34" s="3"/>
    </row>
    <row r="35" spans="2:7" x14ac:dyDescent="0.45">
      <c r="B35" s="1"/>
      <c r="C35" s="3"/>
      <c r="D35" s="3"/>
      <c r="E35" s="3"/>
      <c r="F35" s="3"/>
      <c r="G35" s="3"/>
    </row>
    <row r="36" spans="2:7" x14ac:dyDescent="0.45">
      <c r="B36" s="1" t="s">
        <v>84</v>
      </c>
      <c r="C36" s="5">
        <v>0.46229999999999999</v>
      </c>
      <c r="D36" s="5">
        <v>0.46660000000000001</v>
      </c>
      <c r="E36" s="5">
        <v>0.46379999999999999</v>
      </c>
      <c r="F36" s="5">
        <v>0.62419999999999998</v>
      </c>
      <c r="G36" s="5">
        <v>0.5786</v>
      </c>
    </row>
    <row r="37" spans="2:7" x14ac:dyDescent="0.45">
      <c r="B37" s="1" t="s">
        <v>85</v>
      </c>
      <c r="C37" s="5">
        <v>0</v>
      </c>
      <c r="D37" s="5">
        <v>-2.4899999999999999E-2</v>
      </c>
      <c r="E37" s="5">
        <v>-6.6E-3</v>
      </c>
      <c r="F37" s="5">
        <v>-0.13830000000000001</v>
      </c>
      <c r="G37" s="5">
        <v>1.4500000000000001E-2</v>
      </c>
    </row>
    <row r="38" spans="2:7" x14ac:dyDescent="0.45">
      <c r="B38" s="1" t="s">
        <v>86</v>
      </c>
      <c r="C38" s="5">
        <v>0</v>
      </c>
      <c r="D38" s="5">
        <v>-0.1145</v>
      </c>
      <c r="E38" s="5">
        <v>-4.9000000000000002E-2</v>
      </c>
      <c r="F38" s="5">
        <v>3.4700000000000002E-2</v>
      </c>
      <c r="G38" s="5">
        <v>-0.1168</v>
      </c>
    </row>
    <row r="39" spans="2:7" x14ac:dyDescent="0.45">
      <c r="B39" s="1" t="s">
        <v>87</v>
      </c>
      <c r="C39" s="5">
        <v>0</v>
      </c>
      <c r="D39" s="5">
        <v>-3.2899999999999999E-2</v>
      </c>
      <c r="E39" s="5">
        <v>-1.2200000000000001E-2</v>
      </c>
      <c r="F39" s="5">
        <v>-0.29089999999999999</v>
      </c>
      <c r="G39" s="5">
        <v>0.1694</v>
      </c>
    </row>
    <row r="40" spans="2:7" x14ac:dyDescent="0.45">
      <c r="B40" s="1" t="s">
        <v>88</v>
      </c>
      <c r="C40" s="5">
        <v>0</v>
      </c>
      <c r="D40" s="5">
        <v>1.6799999999999999E-2</v>
      </c>
      <c r="E40" s="5">
        <v>3.5999999999999999E-3</v>
      </c>
      <c r="F40" s="5">
        <v>-0.23200000000000001</v>
      </c>
      <c r="G40" s="5">
        <v>-2.9000000000000001E-2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</vt:lpstr>
      <vt:lpstr>Income Statement(a)</vt:lpstr>
      <vt:lpstr>Income Statement(q)</vt:lpstr>
      <vt:lpstr>Cash Flow(a)</vt:lpstr>
      <vt:lpstr>Cash Flow(q)</vt:lpstr>
      <vt:lpstr>Balance Sheet(a)</vt:lpstr>
      <vt:lpstr>Balance Sheet(q)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Laptop Hp</cp:lastModifiedBy>
  <dcterms:created xsi:type="dcterms:W3CDTF">2026-02-12T14:32:37Z</dcterms:created>
  <dcterms:modified xsi:type="dcterms:W3CDTF">2026-02-12T15:56:02Z</dcterms:modified>
</cp:coreProperties>
</file>