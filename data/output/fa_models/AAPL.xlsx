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E37BC49B-9BC4-41F1-A804-BE36F420F206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Main" sheetId="1" r:id="rId1"/>
    <sheet name="Income Statement" sheetId="2" r:id="rId2"/>
    <sheet name="Cash Flow" sheetId="3" r:id="rId3"/>
    <sheet name="Balance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J5" i="2"/>
  <c r="K5" i="2"/>
  <c r="L5" i="2"/>
  <c r="M5" i="2"/>
  <c r="M23" i="2" s="1"/>
  <c r="N5" i="2"/>
  <c r="N23" i="2" s="1"/>
  <c r="O5" i="2"/>
  <c r="G5" i="2"/>
  <c r="H2" i="2"/>
  <c r="I2" i="2"/>
  <c r="J2" i="2"/>
  <c r="K2" i="2"/>
  <c r="L2" i="2"/>
  <c r="M2" i="2"/>
  <c r="N2" i="2"/>
  <c r="O2" i="2"/>
  <c r="H3" i="2"/>
  <c r="I3" i="2"/>
  <c r="J3" i="2"/>
  <c r="K3" i="2"/>
  <c r="L3" i="2"/>
  <c r="M3" i="2"/>
  <c r="N3" i="2"/>
  <c r="O3" i="2"/>
  <c r="H4" i="2"/>
  <c r="I4" i="2"/>
  <c r="J4" i="2"/>
  <c r="K4" i="2"/>
  <c r="L4" i="2"/>
  <c r="M4" i="2"/>
  <c r="N4" i="2"/>
  <c r="H6" i="2"/>
  <c r="I6" i="2"/>
  <c r="J6" i="2"/>
  <c r="K6" i="2"/>
  <c r="L6" i="2"/>
  <c r="M6" i="2"/>
  <c r="N6" i="2"/>
  <c r="O6" i="2"/>
  <c r="H7" i="2"/>
  <c r="I7" i="2"/>
  <c r="J7" i="2"/>
  <c r="K7" i="2"/>
  <c r="L7" i="2"/>
  <c r="M7" i="2"/>
  <c r="N7" i="2"/>
  <c r="O7" i="2"/>
  <c r="H9" i="2"/>
  <c r="I9" i="2"/>
  <c r="J9" i="2"/>
  <c r="K9" i="2"/>
  <c r="L9" i="2"/>
  <c r="M9" i="2"/>
  <c r="N9" i="2"/>
  <c r="O9" i="2"/>
  <c r="H10" i="2"/>
  <c r="I10" i="2"/>
  <c r="I13" i="2" s="1"/>
  <c r="J10" i="2"/>
  <c r="J13" i="2" s="1"/>
  <c r="K10" i="2"/>
  <c r="K13" i="2" s="1"/>
  <c r="L10" i="2"/>
  <c r="L13" i="2" s="1"/>
  <c r="M10" i="2"/>
  <c r="M13" i="2" s="1"/>
  <c r="N10" i="2"/>
  <c r="N24" i="2" s="1"/>
  <c r="H13" i="2"/>
  <c r="H22" i="2"/>
  <c r="I22" i="2"/>
  <c r="J22" i="2"/>
  <c r="K22" i="2"/>
  <c r="L22" i="2"/>
  <c r="M22" i="2"/>
  <c r="N22" i="2"/>
  <c r="O22" i="2"/>
  <c r="H23" i="2"/>
  <c r="I23" i="2"/>
  <c r="J23" i="2"/>
  <c r="K23" i="2"/>
  <c r="L23" i="2"/>
  <c r="H24" i="2"/>
  <c r="I24" i="2"/>
  <c r="J24" i="2"/>
  <c r="K24" i="2"/>
  <c r="L24" i="2"/>
  <c r="M24" i="2"/>
  <c r="G10" i="2"/>
  <c r="G13" i="2" s="1"/>
  <c r="G9" i="2"/>
  <c r="G7" i="2"/>
  <c r="G6" i="2"/>
  <c r="G4" i="2"/>
  <c r="G22" i="2"/>
  <c r="G23" i="2"/>
  <c r="G3" i="2"/>
  <c r="G2" i="2"/>
  <c r="F14" i="4"/>
  <c r="E14" i="4"/>
  <c r="D14" i="4"/>
  <c r="F9" i="4"/>
  <c r="E9" i="4"/>
  <c r="D9" i="4"/>
  <c r="C9" i="4"/>
  <c r="F3" i="4"/>
  <c r="E3" i="4"/>
  <c r="D3" i="4"/>
  <c r="C3" i="4"/>
  <c r="C14" i="4" s="1"/>
  <c r="F12" i="3"/>
  <c r="E12" i="3"/>
  <c r="D12" i="3"/>
  <c r="C12" i="3"/>
  <c r="F9" i="3"/>
  <c r="E9" i="3"/>
  <c r="D9" i="3"/>
  <c r="F6" i="3"/>
  <c r="E6" i="3"/>
  <c r="D6" i="3"/>
  <c r="C6" i="3"/>
  <c r="C9" i="3" s="1"/>
  <c r="F23" i="2"/>
  <c r="E23" i="2"/>
  <c r="D23" i="2"/>
  <c r="F22" i="2"/>
  <c r="E22" i="2"/>
  <c r="D22" i="2"/>
  <c r="F9" i="2"/>
  <c r="E9" i="2"/>
  <c r="D9" i="2"/>
  <c r="C9" i="2"/>
  <c r="F5" i="2"/>
  <c r="F10" i="2" s="1"/>
  <c r="E5" i="2"/>
  <c r="E10" i="2" s="1"/>
  <c r="D5" i="2"/>
  <c r="D10" i="2" s="1"/>
  <c r="C5" i="2"/>
  <c r="C23" i="2" s="1"/>
  <c r="J5" i="1"/>
  <c r="J8" i="1" s="1"/>
  <c r="J9" i="1" s="1"/>
  <c r="M14" i="2" l="1"/>
  <c r="M16" i="2" s="1"/>
  <c r="M18" i="2" s="1"/>
  <c r="M25" i="2" s="1"/>
  <c r="L14" i="2"/>
  <c r="L16" i="2" s="1"/>
  <c r="L18" i="2" s="1"/>
  <c r="L25" i="2" s="1"/>
  <c r="K14" i="2"/>
  <c r="K16" i="2" s="1"/>
  <c r="K18" i="2" s="1"/>
  <c r="K25" i="2" s="1"/>
  <c r="J14" i="2"/>
  <c r="J16" i="2" s="1"/>
  <c r="J18" i="2" s="1"/>
  <c r="J25" i="2" s="1"/>
  <c r="I14" i="2"/>
  <c r="I16" i="2" s="1"/>
  <c r="I18" i="2" s="1"/>
  <c r="I25" i="2" s="1"/>
  <c r="H14" i="2"/>
  <c r="H16" i="2" s="1"/>
  <c r="H18" i="2" s="1"/>
  <c r="H25" i="2" s="1"/>
  <c r="N13" i="2"/>
  <c r="G14" i="2"/>
  <c r="G16" i="2" s="1"/>
  <c r="G18" i="2" s="1"/>
  <c r="G25" i="2" s="1"/>
  <c r="G24" i="2"/>
  <c r="E24" i="2"/>
  <c r="E13" i="2"/>
  <c r="E16" i="2" s="1"/>
  <c r="E18" i="2" s="1"/>
  <c r="E25" i="2" s="1"/>
  <c r="D13" i="2"/>
  <c r="D16" i="2" s="1"/>
  <c r="D18" i="2" s="1"/>
  <c r="D25" i="2" s="1"/>
  <c r="D24" i="2"/>
  <c r="F24" i="2"/>
  <c r="F13" i="2"/>
  <c r="F16" i="2" s="1"/>
  <c r="F18" i="2" s="1"/>
  <c r="F25" i="2" s="1"/>
  <c r="C10" i="2"/>
  <c r="N14" i="2" l="1"/>
  <c r="N16" i="2" s="1"/>
  <c r="N18" i="2" s="1"/>
  <c r="N25" i="2" s="1"/>
  <c r="O4" i="2"/>
  <c r="O10" i="2"/>
  <c r="O23" i="2"/>
  <c r="C13" i="2"/>
  <c r="C16" i="2" s="1"/>
  <c r="C18" i="2" s="1"/>
  <c r="C25" i="2" s="1"/>
  <c r="C24" i="2"/>
  <c r="O13" i="2" l="1"/>
  <c r="O24" i="2"/>
  <c r="O14" i="2" l="1"/>
  <c r="O16" i="2"/>
  <c r="O18" i="2" s="1"/>
  <c r="O25" i="2" s="1"/>
</calcChain>
</file>

<file path=xl/sharedStrings.xml><?xml version="1.0" encoding="utf-8"?>
<sst xmlns="http://schemas.openxmlformats.org/spreadsheetml/2006/main" count="67" uniqueCount="65">
  <si>
    <t>USD (in millions)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</si>
  <si>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</si>
  <si>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</si>
  <si>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</si>
  <si>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</si>
  <si>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</si>
  <si>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</si>
  <si>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</si>
  <si>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</si>
  <si>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</si>
  <si>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</si>
  <si>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</si>
  <si>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</si>
  <si>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</si>
  <si>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</si>
  <si>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</si>
  <si>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</si>
  <si>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AvgShares</t>
  </si>
  <si>
    <t>RevGrowth</t>
  </si>
  <si>
    <t>GrossMargin</t>
  </si>
  <si>
    <t>OpMargin</t>
  </si>
  <si>
    <t>NetMargin</t>
  </si>
  <si>
    <t>D&amp;A</t>
  </si>
  <si>
    <t>Non-Cash Adj</t>
  </si>
  <si>
    <t>CFFO</t>
  </si>
  <si>
    <t>CFFI</t>
  </si>
  <si>
    <t>CFFF</t>
  </si>
  <si>
    <t>Changes In Cash</t>
  </si>
  <si>
    <t>OCF</t>
  </si>
  <si>
    <t>CapEx</t>
  </si>
  <si>
    <t>FCF</t>
  </si>
  <si>
    <t>CFGrowth</t>
  </si>
  <si>
    <t>CXChange</t>
  </si>
  <si>
    <t>FCFGrowth</t>
  </si>
  <si>
    <t>FCFMargin</t>
  </si>
  <si>
    <t>Total Assets</t>
  </si>
  <si>
    <t>Current Assets</t>
  </si>
  <si>
    <t>Cash &amp; Short Inv</t>
  </si>
  <si>
    <t>Inventory</t>
  </si>
  <si>
    <t>Non-Current Assets</t>
  </si>
  <si>
    <t>PPE</t>
  </si>
  <si>
    <t>Total Liabilities</t>
  </si>
  <si>
    <t>Current Liabilities</t>
  </si>
  <si>
    <t>Short Term Debt</t>
  </si>
  <si>
    <t>Non-Current Liabilities</t>
  </si>
  <si>
    <t>Long Term Debt</t>
  </si>
  <si>
    <t>Total Equity</t>
  </si>
  <si>
    <t>Common Equity</t>
  </si>
  <si>
    <t>Retained Earnings</t>
  </si>
  <si>
    <t>Net Debt</t>
  </si>
  <si>
    <t>Tangible Assets</t>
  </si>
  <si>
    <t>CapitalEmployed</t>
  </si>
  <si>
    <t>Invested Capital</t>
  </si>
  <si>
    <t>NCAV</t>
  </si>
  <si>
    <t>Shares</t>
  </si>
  <si>
    <t>D_E</t>
  </si>
  <si>
    <t>AssetsGrowth</t>
  </si>
  <si>
    <t>TAGrowth</t>
  </si>
  <si>
    <t>EquityGrowth</t>
  </si>
  <si>
    <t>ICGrowth</t>
  </si>
  <si>
    <t>Price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</si>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</sst>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2" borderId="0" xfId="0" applyNumberFormat="1" applyFill="1"/>
    <xf numFmtId="3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9"/>
  <sheetViews>
    <sheetView workbookViewId="0">
      <selection activeCell="J9" sqref="J9"/>
    </sheetView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60</v>
      </c>
      <c r="J3" s="2">
        <v>278.12</v>
      </c>
    </row>
    <row r="4" spans="2:10" x14ac:dyDescent="0.45">
      <c r="I4" s="1" t="s">
        <v>54</v>
      </c>
      <c r="J4" s="3">
        <v>14697.925458363299</v>
      </c>
    </row>
    <row r="5" spans="2:10" x14ac:dyDescent="0.45">
      <c r="I5" s="1" t="s">
        <v>61</v>
      </c>
      <c r="J5" s="3">
        <f>J3*J4</f>
        <v>4087787.0284800008</v>
      </c>
    </row>
    <row r="6" spans="2:10" x14ac:dyDescent="0.45">
      <c r="I6" s="1" t="s">
        <v>62</v>
      </c>
      <c r="J6" s="3">
        <v>54697</v>
      </c>
    </row>
    <row r="7" spans="2:10" x14ac:dyDescent="0.45">
      <c r="I7" s="1" t="s">
        <v>63</v>
      </c>
      <c r="J7" s="3">
        <v>98657</v>
      </c>
    </row>
    <row r="8" spans="2:10" x14ac:dyDescent="0.45">
      <c r="I8" s="1" t="s">
        <v>64</v>
      </c>
      <c r="J8" s="3">
        <f>J5+J7-J6</f>
        <v>4131747.0284800008</v>
      </c>
    </row>
    <row r="9" spans="2:10" x14ac:dyDescent="0.45">
      <c r="J9" s="4">
        <f>J8/'Income Statement'!E10</f>
        <v>33.532552821711469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5"/>
  <sheetViews>
    <sheetView tabSelected="1" workbookViewId="0">
      <selection activeCell="G5" sqref="G5:O5"/>
    </sheetView>
  </sheetViews>
  <sheetFormatPr defaultRowHeight="14.25" x14ac:dyDescent="0.45"/>
  <cols>
    <col min="2" max="2" width="20.73046875" customWidth="1"/>
  </cols>
  <sheetData>
    <row r="2" spans="2:15" x14ac:dyDescent="0.45">
      <c r="C2" s="5">
        <v>2022</v>
      </c>
      <c r="D2" s="5">
        <v>2023</v>
      </c>
      <c r="E2" s="5">
        <v>2024</v>
      </c>
      <c r="F2" s="5">
        <v>2025</v>
      </c>
      <c r="G2" s="7">
        <f>F2+1</f>
        <v>2026</v>
      </c>
      <c r="H2" s="7">
        <f t="shared" ref="H2:O2" si="0">G2+1</f>
        <v>2027</v>
      </c>
      <c r="I2" s="7">
        <f t="shared" si="0"/>
        <v>2028</v>
      </c>
      <c r="J2" s="7">
        <f t="shared" si="0"/>
        <v>2029</v>
      </c>
      <c r="K2" s="7">
        <f t="shared" si="0"/>
        <v>2030</v>
      </c>
      <c r="L2" s="7">
        <f t="shared" si="0"/>
        <v>2031</v>
      </c>
      <c r="M2" s="7">
        <f t="shared" si="0"/>
        <v>2032</v>
      </c>
      <c r="N2" s="7">
        <f t="shared" si="0"/>
        <v>2033</v>
      </c>
      <c r="O2" s="7">
        <f t="shared" si="0"/>
        <v>2034</v>
      </c>
    </row>
    <row r="3" spans="2:15" x14ac:dyDescent="0.45">
      <c r="B3" s="1" t="s">
        <v>1</v>
      </c>
      <c r="C3" s="3">
        <v>394328</v>
      </c>
      <c r="D3" s="3">
        <v>383285</v>
      </c>
      <c r="E3" s="3">
        <v>391035</v>
      </c>
      <c r="F3" s="3">
        <v>416161</v>
      </c>
      <c r="G3" s="8">
        <f>F3*1.03</f>
        <v>428645.83</v>
      </c>
      <c r="H3" s="8">
        <f t="shared" ref="H3:O3" si="1">G3*1.03</f>
        <v>441505.20490000001</v>
      </c>
      <c r="I3" s="8">
        <f t="shared" si="1"/>
        <v>454750.36104700004</v>
      </c>
      <c r="J3" s="8">
        <f t="shared" si="1"/>
        <v>468392.87187841005</v>
      </c>
      <c r="K3" s="8">
        <f t="shared" si="1"/>
        <v>482444.65803476237</v>
      </c>
      <c r="L3" s="8">
        <f t="shared" si="1"/>
        <v>496917.99777580524</v>
      </c>
      <c r="M3" s="8">
        <f t="shared" si="1"/>
        <v>511825.53770907939</v>
      </c>
      <c r="N3" s="8">
        <f t="shared" si="1"/>
        <v>527180.30384035176</v>
      </c>
      <c r="O3" s="8">
        <f t="shared" si="1"/>
        <v>542995.71295556228</v>
      </c>
    </row>
    <row r="4" spans="2:15" x14ac:dyDescent="0.45">
      <c r="B4" s="1" t="s">
        <v>2</v>
      </c>
      <c r="C4" s="3">
        <v>-223546</v>
      </c>
      <c r="D4" s="3">
        <v>-214137</v>
      </c>
      <c r="E4" s="3">
        <v>-210352</v>
      </c>
      <c r="F4" s="3">
        <v>-220960</v>
      </c>
      <c r="G4" s="8">
        <f>G5-G3</f>
        <v>-226302.86251000001</v>
      </c>
      <c r="H4" s="8">
        <f t="shared" ref="H4:O4" si="2">H5-H3</f>
        <v>-231767.43277059999</v>
      </c>
      <c r="I4" s="8">
        <f t="shared" si="2"/>
        <v>-237356.20467057702</v>
      </c>
      <c r="J4" s="8">
        <f t="shared" si="2"/>
        <v>-243071.71219505908</v>
      </c>
      <c r="K4" s="8">
        <f t="shared" si="2"/>
        <v>-248916.52958680657</v>
      </c>
      <c r="L4" s="8">
        <f t="shared" si="2"/>
        <v>-254893.27148108336</v>
      </c>
      <c r="M4" s="8">
        <f t="shared" si="2"/>
        <v>-261004.59301238862</v>
      </c>
      <c r="N4" s="8">
        <f t="shared" si="2"/>
        <v>-267253.18989123922</v>
      </c>
      <c r="O4" s="8">
        <f t="shared" si="2"/>
        <v>-273641.79844910972</v>
      </c>
    </row>
    <row r="5" spans="2:15" x14ac:dyDescent="0.45">
      <c r="B5" s="1" t="s">
        <v>3</v>
      </c>
      <c r="C5" s="3">
        <f>C3+C4</f>
        <v>170782</v>
      </c>
      <c r="D5" s="3">
        <f>D3+D4</f>
        <v>169148</v>
      </c>
      <c r="E5" s="3">
        <f>E3+E4</f>
        <v>180683</v>
      </c>
      <c r="F5" s="3">
        <f>F3+F4</f>
        <v>195201</v>
      </c>
      <c r="G5" s="3">
        <f>G3*(F5/F3+0.003)</f>
        <v>202342.96749000001</v>
      </c>
      <c r="H5" s="3">
        <f t="shared" ref="H5:O5" si="3">H3*(G5/G3+0.003)</f>
        <v>209737.77212940002</v>
      </c>
      <c r="I5" s="3">
        <f t="shared" si="3"/>
        <v>217394.15637642302</v>
      </c>
      <c r="J5" s="3">
        <f t="shared" si="3"/>
        <v>225321.15968335097</v>
      </c>
      <c r="K5" s="3">
        <f t="shared" si="3"/>
        <v>233528.12844795579</v>
      </c>
      <c r="L5" s="3">
        <f t="shared" si="3"/>
        <v>242024.72629472188</v>
      </c>
      <c r="M5" s="3">
        <f t="shared" si="3"/>
        <v>250820.94469669077</v>
      </c>
      <c r="N5" s="3">
        <f t="shared" si="3"/>
        <v>259927.11394911254</v>
      </c>
      <c r="O5" s="3">
        <f t="shared" si="3"/>
        <v>269353.91450645257</v>
      </c>
    </row>
    <row r="6" spans="2:15" x14ac:dyDescent="0.45">
      <c r="B6" s="1" t="s">
        <v>4</v>
      </c>
      <c r="C6" s="3">
        <v>-25094</v>
      </c>
      <c r="D6" s="3">
        <v>-24932</v>
      </c>
      <c r="E6" s="3">
        <v>-26097</v>
      </c>
      <c r="F6" s="3">
        <v>-27601</v>
      </c>
      <c r="G6" s="8">
        <f>G3*(F6/F3)</f>
        <v>-28429.030000000002</v>
      </c>
      <c r="H6" s="8">
        <f t="shared" ref="H6:O6" si="4">H3*(G6/G3)</f>
        <v>-29281.900900000004</v>
      </c>
      <c r="I6" s="8">
        <f t="shared" si="4"/>
        <v>-30160.357927000005</v>
      </c>
      <c r="J6" s="8">
        <f t="shared" si="4"/>
        <v>-31065.168664810004</v>
      </c>
      <c r="K6" s="8">
        <f t="shared" si="4"/>
        <v>-31997.123724754307</v>
      </c>
      <c r="L6" s="8">
        <f t="shared" si="4"/>
        <v>-32957.037436496939</v>
      </c>
      <c r="M6" s="8">
        <f t="shared" si="4"/>
        <v>-33945.748559591841</v>
      </c>
      <c r="N6" s="8">
        <f t="shared" si="4"/>
        <v>-34964.121016379599</v>
      </c>
      <c r="O6" s="8">
        <f t="shared" si="4"/>
        <v>-36013.044646870985</v>
      </c>
    </row>
    <row r="7" spans="2:15" x14ac:dyDescent="0.45">
      <c r="B7" s="1" t="s">
        <v>5</v>
      </c>
      <c r="C7" s="3">
        <v>-26251</v>
      </c>
      <c r="D7" s="3">
        <v>-29915</v>
      </c>
      <c r="E7" s="3">
        <v>-31370</v>
      </c>
      <c r="F7" s="3">
        <v>-34550</v>
      </c>
      <c r="G7" s="8">
        <f>G3*(F7/F3-0.002)</f>
        <v>-36443.791660000003</v>
      </c>
      <c r="H7" s="8">
        <f t="shared" ref="H7:O7" si="5">H3*(G7/G3-0.002)</f>
        <v>-38420.115819600003</v>
      </c>
      <c r="I7" s="8">
        <f t="shared" si="5"/>
        <v>-40482.220016282008</v>
      </c>
      <c r="J7" s="8">
        <f t="shared" si="5"/>
        <v>-42633.472360527288</v>
      </c>
      <c r="K7" s="8">
        <f t="shared" si="5"/>
        <v>-44877.365847412635</v>
      </c>
      <c r="L7" s="8">
        <f t="shared" si="5"/>
        <v>-47217.522818386627</v>
      </c>
      <c r="M7" s="8">
        <f t="shared" si="5"/>
        <v>-49657.699578356383</v>
      </c>
      <c r="N7" s="8">
        <f t="shared" si="5"/>
        <v>-52201.791173387777</v>
      </c>
      <c r="O7" s="8">
        <f t="shared" si="5"/>
        <v>-54853.836334500535</v>
      </c>
    </row>
    <row r="8" spans="2:15" x14ac:dyDescent="0.45">
      <c r="B8" s="1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2:15" x14ac:dyDescent="0.45">
      <c r="B9" s="1" t="s">
        <v>7</v>
      </c>
      <c r="C9" s="3">
        <f>C6+C7+C8</f>
        <v>-51345</v>
      </c>
      <c r="D9" s="3">
        <f>D6+D7+D8</f>
        <v>-54847</v>
      </c>
      <c r="E9" s="3">
        <f>E6+E7+E8</f>
        <v>-57467</v>
      </c>
      <c r="F9" s="3">
        <f>F6+F7+F8</f>
        <v>-62151</v>
      </c>
      <c r="G9" s="3">
        <f>G6+G7+G8</f>
        <v>-64872.821660000001</v>
      </c>
      <c r="H9" s="3">
        <f t="shared" ref="H9:O9" si="6">H6+H7+H8</f>
        <v>-67702.016719600011</v>
      </c>
      <c r="I9" s="3">
        <f t="shared" si="6"/>
        <v>-70642.577943282013</v>
      </c>
      <c r="J9" s="3">
        <f t="shared" si="6"/>
        <v>-73698.641025337289</v>
      </c>
      <c r="K9" s="3">
        <f t="shared" si="6"/>
        <v>-76874.489572166945</v>
      </c>
      <c r="L9" s="3">
        <f t="shared" si="6"/>
        <v>-80174.560254883574</v>
      </c>
      <c r="M9" s="3">
        <f t="shared" si="6"/>
        <v>-83603.448137948231</v>
      </c>
      <c r="N9" s="3">
        <f t="shared" si="6"/>
        <v>-87165.912189767376</v>
      </c>
      <c r="O9" s="3">
        <f t="shared" si="6"/>
        <v>-90866.88098137152</v>
      </c>
    </row>
    <row r="10" spans="2:15" x14ac:dyDescent="0.45">
      <c r="B10" s="1" t="s">
        <v>8</v>
      </c>
      <c r="C10" s="3">
        <f>C5+C9</f>
        <v>119437</v>
      </c>
      <c r="D10" s="3">
        <f>D5+D9</f>
        <v>114301</v>
      </c>
      <c r="E10" s="3">
        <f>E5+E9</f>
        <v>123216</v>
      </c>
      <c r="F10" s="3">
        <f>F5+F9</f>
        <v>133050</v>
      </c>
      <c r="G10" s="3">
        <f>G5+G9</f>
        <v>137470.14582999999</v>
      </c>
      <c r="H10" s="3">
        <f t="shared" ref="H10:O10" si="7">H5+H9</f>
        <v>142035.75540980001</v>
      </c>
      <c r="I10" s="3">
        <f t="shared" si="7"/>
        <v>146751.578433141</v>
      </c>
      <c r="J10" s="3">
        <f t="shared" si="7"/>
        <v>151622.51865801367</v>
      </c>
      <c r="K10" s="3">
        <f t="shared" si="7"/>
        <v>156653.63887578883</v>
      </c>
      <c r="L10" s="3">
        <f t="shared" si="7"/>
        <v>161850.16603983831</v>
      </c>
      <c r="M10" s="3">
        <f t="shared" si="7"/>
        <v>167217.49655874254</v>
      </c>
      <c r="N10" s="3">
        <f t="shared" si="7"/>
        <v>172761.20175934516</v>
      </c>
      <c r="O10" s="3">
        <f t="shared" si="7"/>
        <v>178487.03352508106</v>
      </c>
    </row>
    <row r="11" spans="2:15" x14ac:dyDescent="0.45">
      <c r="B11" s="1" t="s">
        <v>9</v>
      </c>
      <c r="C11" s="3">
        <v>-106</v>
      </c>
      <c r="D11" s="3">
        <v>-183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2:15" x14ac:dyDescent="0.45">
      <c r="B12" s="1" t="s">
        <v>10</v>
      </c>
      <c r="C12" s="3">
        <v>-228</v>
      </c>
      <c r="D12" s="3">
        <v>-382</v>
      </c>
      <c r="E12" s="3">
        <v>269</v>
      </c>
      <c r="F12" s="3">
        <v>-321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</row>
    <row r="13" spans="2:15" x14ac:dyDescent="0.45">
      <c r="B13" s="1" t="s">
        <v>11</v>
      </c>
      <c r="C13" s="3">
        <f>C10+C11+C12</f>
        <v>119103</v>
      </c>
      <c r="D13" s="3">
        <f>D10+D11+D12</f>
        <v>113736</v>
      </c>
      <c r="E13" s="3">
        <f>E10+E11+E12</f>
        <v>123485</v>
      </c>
      <c r="F13" s="3">
        <f>F10+F11+F12</f>
        <v>132729</v>
      </c>
      <c r="G13" s="3">
        <f>G10+G11+G12</f>
        <v>137470.14582999999</v>
      </c>
      <c r="H13" s="3">
        <f t="shared" ref="H13:O13" si="8">H10+H11+H12</f>
        <v>142035.75540980001</v>
      </c>
      <c r="I13" s="3">
        <f t="shared" si="8"/>
        <v>146751.578433141</v>
      </c>
      <c r="J13" s="3">
        <f t="shared" si="8"/>
        <v>151622.51865801367</v>
      </c>
      <c r="K13" s="3">
        <f t="shared" si="8"/>
        <v>156653.63887578883</v>
      </c>
      <c r="L13" s="3">
        <f t="shared" si="8"/>
        <v>161850.16603983831</v>
      </c>
      <c r="M13" s="3">
        <f t="shared" si="8"/>
        <v>167217.49655874254</v>
      </c>
      <c r="N13" s="3">
        <f t="shared" si="8"/>
        <v>172761.20175934516</v>
      </c>
      <c r="O13" s="3">
        <f t="shared" si="8"/>
        <v>178487.03352508106</v>
      </c>
    </row>
    <row r="14" spans="2:15" x14ac:dyDescent="0.45">
      <c r="B14" s="1" t="s">
        <v>12</v>
      </c>
      <c r="C14" s="3">
        <v>-19300</v>
      </c>
      <c r="D14" s="3">
        <v>-16741</v>
      </c>
      <c r="E14" s="3">
        <v>-29749</v>
      </c>
      <c r="F14" s="3">
        <v>-20719</v>
      </c>
      <c r="G14" s="8">
        <f>G13*-0.2</f>
        <v>-27494.029166</v>
      </c>
      <c r="H14" s="8">
        <f t="shared" ref="H14:O14" si="9">H13*-0.2</f>
        <v>-28407.151081960004</v>
      </c>
      <c r="I14" s="8">
        <f t="shared" si="9"/>
        <v>-29350.315686628201</v>
      </c>
      <c r="J14" s="8">
        <f t="shared" si="9"/>
        <v>-30324.503731602734</v>
      </c>
      <c r="K14" s="8">
        <f t="shared" si="9"/>
        <v>-31330.727775157768</v>
      </c>
      <c r="L14" s="8">
        <f t="shared" si="9"/>
        <v>-32370.033207967663</v>
      </c>
      <c r="M14" s="8">
        <f t="shared" si="9"/>
        <v>-33443.499311748506</v>
      </c>
      <c r="N14" s="8">
        <f t="shared" si="9"/>
        <v>-34552.240351869033</v>
      </c>
      <c r="O14" s="8">
        <f t="shared" si="9"/>
        <v>-35697.406705016212</v>
      </c>
    </row>
    <row r="15" spans="2:15" x14ac:dyDescent="0.45">
      <c r="B15" s="1" t="s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2:15" x14ac:dyDescent="0.45">
      <c r="B16" s="1" t="s">
        <v>14</v>
      </c>
      <c r="C16" s="3">
        <f>C13+C14+C15</f>
        <v>99803</v>
      </c>
      <c r="D16" s="3">
        <f>D13+D14+D15</f>
        <v>96995</v>
      </c>
      <c r="E16" s="3">
        <f>E13+E14+E15</f>
        <v>93736</v>
      </c>
      <c r="F16" s="3">
        <f>F13+F14+F15</f>
        <v>112010</v>
      </c>
      <c r="G16" s="3">
        <f>G13+G14+G15</f>
        <v>109976.116664</v>
      </c>
      <c r="H16" s="3">
        <f t="shared" ref="H16:O16" si="10">H13+H14+H15</f>
        <v>113628.60432784</v>
      </c>
      <c r="I16" s="3">
        <f t="shared" si="10"/>
        <v>117401.2627465128</v>
      </c>
      <c r="J16" s="3">
        <f t="shared" si="10"/>
        <v>121298.01492641094</v>
      </c>
      <c r="K16" s="3">
        <f t="shared" si="10"/>
        <v>125322.91110063107</v>
      </c>
      <c r="L16" s="3">
        <f t="shared" si="10"/>
        <v>129480.13283187065</v>
      </c>
      <c r="M16" s="3">
        <f t="shared" si="10"/>
        <v>133773.99724699403</v>
      </c>
      <c r="N16" s="3">
        <f t="shared" si="10"/>
        <v>138208.96140747613</v>
      </c>
      <c r="O16" s="3">
        <f t="shared" si="10"/>
        <v>142789.62682006485</v>
      </c>
    </row>
    <row r="17" spans="2:15" x14ac:dyDescent="0.45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2:15" x14ac:dyDescent="0.45">
      <c r="B18" s="1" t="s">
        <v>16</v>
      </c>
      <c r="C18" s="3">
        <f>C16+C17</f>
        <v>99803</v>
      </c>
      <c r="D18" s="3">
        <f>D16+D17</f>
        <v>96995</v>
      </c>
      <c r="E18" s="3">
        <f>E16+E17</f>
        <v>93736</v>
      </c>
      <c r="F18" s="3">
        <f>F16+F17</f>
        <v>112010</v>
      </c>
      <c r="G18" s="3">
        <f>G16+G17</f>
        <v>109976.116664</v>
      </c>
      <c r="H18" s="3">
        <f t="shared" ref="H18:O18" si="11">H16+H17</f>
        <v>113628.60432784</v>
      </c>
      <c r="I18" s="3">
        <f t="shared" si="11"/>
        <v>117401.2627465128</v>
      </c>
      <c r="J18" s="3">
        <f t="shared" si="11"/>
        <v>121298.01492641094</v>
      </c>
      <c r="K18" s="3">
        <f t="shared" si="11"/>
        <v>125322.91110063107</v>
      </c>
      <c r="L18" s="3">
        <f t="shared" si="11"/>
        <v>129480.13283187065</v>
      </c>
      <c r="M18" s="3">
        <f t="shared" si="11"/>
        <v>133773.99724699403</v>
      </c>
      <c r="N18" s="3">
        <f t="shared" si="11"/>
        <v>138208.96140747613</v>
      </c>
      <c r="O18" s="3">
        <f t="shared" si="11"/>
        <v>142789.62682006485</v>
      </c>
    </row>
    <row r="19" spans="2:15" x14ac:dyDescent="0.45">
      <c r="B19" s="1" t="s">
        <v>17</v>
      </c>
      <c r="C19" s="3">
        <v>16326</v>
      </c>
      <c r="D19" s="3">
        <v>15813</v>
      </c>
      <c r="E19" s="3">
        <v>15408</v>
      </c>
      <c r="F19" s="3">
        <v>15005</v>
      </c>
      <c r="G19" s="3">
        <v>15005</v>
      </c>
      <c r="H19" s="3">
        <v>15005</v>
      </c>
      <c r="I19" s="3">
        <v>15005</v>
      </c>
      <c r="J19" s="3">
        <v>15005</v>
      </c>
      <c r="K19" s="3">
        <v>15005</v>
      </c>
      <c r="L19" s="3">
        <v>15005</v>
      </c>
      <c r="M19" s="3">
        <v>15005</v>
      </c>
      <c r="N19" s="3">
        <v>15005</v>
      </c>
      <c r="O19" s="3">
        <v>15005</v>
      </c>
    </row>
    <row r="20" spans="2:15" x14ac:dyDescent="0.45">
      <c r="B20" s="10"/>
      <c r="C20" s="9"/>
      <c r="D20" s="9"/>
      <c r="E20" s="9"/>
      <c r="F20" s="9"/>
    </row>
    <row r="21" spans="2:15" x14ac:dyDescent="0.45">
      <c r="B21" s="1"/>
      <c r="C21" s="3"/>
      <c r="D21" s="3"/>
      <c r="E21" s="3"/>
      <c r="F21" s="3"/>
    </row>
    <row r="22" spans="2:15" x14ac:dyDescent="0.45">
      <c r="B22" s="1" t="s">
        <v>18</v>
      </c>
      <c r="C22" s="6"/>
      <c r="D22" s="6">
        <f>IFERROR((D3-C3)/C3,0)</f>
        <v>-2.8004605303199367E-2</v>
      </c>
      <c r="E22" s="6">
        <f>IFERROR((E3-D3)/D3,0)</f>
        <v>2.0219940775141214E-2</v>
      </c>
      <c r="F22" s="6">
        <f>IFERROR((F3-E3)/E3,0)</f>
        <v>6.4255117828327393E-2</v>
      </c>
      <c r="G22" s="6">
        <f>IFERROR((G3-F3)/F3,0)</f>
        <v>3.0000000000000041E-2</v>
      </c>
      <c r="H22" s="6">
        <f t="shared" ref="H22:O22" si="12">IFERROR((H3-G3)/G3,0)</f>
        <v>2.9999999999999988E-2</v>
      </c>
      <c r="I22" s="6">
        <f t="shared" si="12"/>
        <v>3.0000000000000068E-2</v>
      </c>
      <c r="J22" s="6">
        <f t="shared" si="12"/>
        <v>3.0000000000000013E-2</v>
      </c>
      <c r="K22" s="6">
        <f t="shared" si="12"/>
        <v>3.0000000000000037E-2</v>
      </c>
      <c r="L22" s="6">
        <f t="shared" si="12"/>
        <v>3.0000000000000006E-2</v>
      </c>
      <c r="M22" s="6">
        <f t="shared" si="12"/>
        <v>2.9999999999999988E-2</v>
      </c>
      <c r="N22" s="6">
        <f t="shared" si="12"/>
        <v>2.9999999999999968E-2</v>
      </c>
      <c r="O22" s="6">
        <f t="shared" si="12"/>
        <v>2.9999999999999947E-2</v>
      </c>
    </row>
    <row r="23" spans="2:15" x14ac:dyDescent="0.45">
      <c r="B23" s="1" t="s">
        <v>19</v>
      </c>
      <c r="C23" s="6">
        <f>C5/C3</f>
        <v>0.43309630561360085</v>
      </c>
      <c r="D23" s="6">
        <f>D5/D3</f>
        <v>0.44131129577207562</v>
      </c>
      <c r="E23" s="6">
        <f>E5/E3</f>
        <v>0.46206349815233932</v>
      </c>
      <c r="F23" s="6">
        <f>F5/F3</f>
        <v>0.46905164107160452</v>
      </c>
      <c r="G23" s="6">
        <f>G5/G3</f>
        <v>0.47205164107160452</v>
      </c>
      <c r="H23" s="6">
        <f t="shared" ref="H23:O23" si="13">H5/H3</f>
        <v>0.47505164107160452</v>
      </c>
      <c r="I23" s="6">
        <f t="shared" si="13"/>
        <v>0.47805164107160453</v>
      </c>
      <c r="J23" s="6">
        <f t="shared" si="13"/>
        <v>0.48105164107160453</v>
      </c>
      <c r="K23" s="6">
        <f t="shared" si="13"/>
        <v>0.48405164107160453</v>
      </c>
      <c r="L23" s="6">
        <f t="shared" si="13"/>
        <v>0.48705164107160454</v>
      </c>
      <c r="M23" s="6">
        <f t="shared" si="13"/>
        <v>0.49005164107160454</v>
      </c>
      <c r="N23" s="6">
        <f t="shared" si="13"/>
        <v>0.49305164107160454</v>
      </c>
      <c r="O23" s="6">
        <f t="shared" si="13"/>
        <v>0.49605164107160449</v>
      </c>
    </row>
    <row r="24" spans="2:15" x14ac:dyDescent="0.45">
      <c r="B24" s="1" t="s">
        <v>20</v>
      </c>
      <c r="C24" s="6">
        <f>C10/C3</f>
        <v>0.30288744395528594</v>
      </c>
      <c r="D24" s="6">
        <f>D10/D3</f>
        <v>0.29821412265024722</v>
      </c>
      <c r="E24" s="6">
        <f>E10/E3</f>
        <v>0.31510222870075566</v>
      </c>
      <c r="F24" s="6">
        <f>F10/F3</f>
        <v>0.31970799762591884</v>
      </c>
      <c r="G24" s="6">
        <f>G10/G3</f>
        <v>0.32070799762591878</v>
      </c>
      <c r="H24" s="6">
        <f t="shared" ref="H24:O24" si="14">H10/H3</f>
        <v>0.32170799762591884</v>
      </c>
      <c r="I24" s="6">
        <f t="shared" si="14"/>
        <v>0.32270799762591879</v>
      </c>
      <c r="J24" s="6">
        <f t="shared" si="14"/>
        <v>0.32370799762591884</v>
      </c>
      <c r="K24" s="6">
        <f t="shared" si="14"/>
        <v>0.32470799762591884</v>
      </c>
      <c r="L24" s="6">
        <f t="shared" si="14"/>
        <v>0.32570799762591884</v>
      </c>
      <c r="M24" s="6">
        <f t="shared" si="14"/>
        <v>0.32670799762591884</v>
      </c>
      <c r="N24" s="6">
        <f t="shared" si="14"/>
        <v>0.32770799762591885</v>
      </c>
      <c r="O24" s="6">
        <f t="shared" si="14"/>
        <v>0.32870799762591879</v>
      </c>
    </row>
    <row r="25" spans="2:15" x14ac:dyDescent="0.45">
      <c r="B25" s="1" t="s">
        <v>21</v>
      </c>
      <c r="C25" s="6">
        <f>C18/C3</f>
        <v>0.25309640705199732</v>
      </c>
      <c r="D25" s="6">
        <f>D18/D3</f>
        <v>0.25306234264320282</v>
      </c>
      <c r="E25" s="6">
        <f>E18/E3</f>
        <v>0.23971255769943867</v>
      </c>
      <c r="F25" s="6">
        <f>F18/F3</f>
        <v>0.26915064121818238</v>
      </c>
      <c r="G25" s="6">
        <f>G18/G3</f>
        <v>0.25656639810073506</v>
      </c>
      <c r="H25" s="6">
        <f t="shared" ref="H25:O25" si="15">H18/H3</f>
        <v>0.25736639810073503</v>
      </c>
      <c r="I25" s="6">
        <f t="shared" si="15"/>
        <v>0.25816639810073505</v>
      </c>
      <c r="J25" s="6">
        <f t="shared" si="15"/>
        <v>0.25896639810073507</v>
      </c>
      <c r="K25" s="6">
        <f t="shared" si="15"/>
        <v>0.25976639810073504</v>
      </c>
      <c r="L25" s="6">
        <f t="shared" si="15"/>
        <v>0.26056639810073506</v>
      </c>
      <c r="M25" s="6">
        <f t="shared" si="15"/>
        <v>0.26136639810073503</v>
      </c>
      <c r="N25" s="6">
        <f t="shared" si="15"/>
        <v>0.26216639810073505</v>
      </c>
      <c r="O25" s="6">
        <f t="shared" si="15"/>
        <v>0.26296639810073508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workbookViewId="0"/>
  </sheetViews>
  <sheetFormatPr defaultRowHeight="14.25" x14ac:dyDescent="0.45"/>
  <cols>
    <col min="2" max="2" width="17.73046875" customWidth="1"/>
  </cols>
  <sheetData>
    <row r="2" spans="2:6" x14ac:dyDescent="0.45">
      <c r="C2" s="5">
        <v>2022</v>
      </c>
      <c r="D2" s="5">
        <v>2023</v>
      </c>
      <c r="E2" s="5">
        <v>2024</v>
      </c>
      <c r="F2" s="5">
        <v>2025</v>
      </c>
    </row>
    <row r="3" spans="2:6" x14ac:dyDescent="0.45">
      <c r="B3" s="1" t="s">
        <v>14</v>
      </c>
      <c r="C3" s="3">
        <v>99803</v>
      </c>
      <c r="D3" s="3">
        <v>96995</v>
      </c>
      <c r="E3" s="3">
        <v>93736</v>
      </c>
      <c r="F3" s="3">
        <v>112010</v>
      </c>
    </row>
    <row r="4" spans="2:6" x14ac:dyDescent="0.45">
      <c r="B4" s="1" t="s">
        <v>22</v>
      </c>
      <c r="C4" s="3">
        <v>11104</v>
      </c>
      <c r="D4" s="3">
        <v>11519</v>
      </c>
      <c r="E4" s="3">
        <v>11445</v>
      </c>
      <c r="F4" s="3">
        <v>11698</v>
      </c>
    </row>
    <row r="5" spans="2:6" x14ac:dyDescent="0.45">
      <c r="B5" s="1" t="s">
        <v>23</v>
      </c>
      <c r="C5" s="3">
        <v>11244</v>
      </c>
      <c r="D5" s="3">
        <v>2029</v>
      </c>
      <c r="E5" s="3">
        <v>13073</v>
      </c>
      <c r="F5" s="3">
        <v>-12226</v>
      </c>
    </row>
    <row r="6" spans="2:6" x14ac:dyDescent="0.45">
      <c r="B6" s="1" t="s">
        <v>24</v>
      </c>
      <c r="C6" s="3">
        <f>C3+C4+C5</f>
        <v>122151</v>
      </c>
      <c r="D6" s="3">
        <f>D3+D4+D5</f>
        <v>110543</v>
      </c>
      <c r="E6" s="3">
        <f>E3+E4+E5</f>
        <v>118254</v>
      </c>
      <c r="F6" s="3">
        <f>F3+F4+F5</f>
        <v>111482</v>
      </c>
    </row>
    <row r="7" spans="2:6" x14ac:dyDescent="0.45">
      <c r="B7" s="1" t="s">
        <v>25</v>
      </c>
      <c r="C7" s="3">
        <v>-22354</v>
      </c>
      <c r="D7" s="3">
        <v>3705</v>
      </c>
      <c r="E7" s="3">
        <v>2935</v>
      </c>
      <c r="F7" s="3">
        <v>15195</v>
      </c>
    </row>
    <row r="8" spans="2:6" x14ac:dyDescent="0.45">
      <c r="B8" s="1" t="s">
        <v>26</v>
      </c>
      <c r="C8" s="3">
        <v>-110749</v>
      </c>
      <c r="D8" s="3">
        <v>-108488</v>
      </c>
      <c r="E8" s="3">
        <v>-121983</v>
      </c>
      <c r="F8" s="3">
        <v>-120686</v>
      </c>
    </row>
    <row r="9" spans="2:6" x14ac:dyDescent="0.45">
      <c r="B9" s="1" t="s">
        <v>27</v>
      </c>
      <c r="C9" s="3">
        <f>C6+C7+C8</f>
        <v>-10952</v>
      </c>
      <c r="D9" s="3">
        <f>D6+D7+D8</f>
        <v>5760</v>
      </c>
      <c r="E9" s="3">
        <f>E6+E7+E8</f>
        <v>-794</v>
      </c>
      <c r="F9" s="3">
        <f>F6+F7+F8</f>
        <v>5991</v>
      </c>
    </row>
    <row r="10" spans="2:6" x14ac:dyDescent="0.45">
      <c r="B10" s="1" t="s">
        <v>28</v>
      </c>
      <c r="C10" s="3">
        <v>122151</v>
      </c>
      <c r="D10" s="3">
        <v>110543</v>
      </c>
      <c r="E10" s="3">
        <v>118254</v>
      </c>
      <c r="F10" s="3">
        <v>111482</v>
      </c>
    </row>
    <row r="11" spans="2:6" x14ac:dyDescent="0.45">
      <c r="B11" s="1" t="s">
        <v>29</v>
      </c>
      <c r="C11" s="3">
        <v>-10708</v>
      </c>
      <c r="D11" s="3">
        <v>-10959</v>
      </c>
      <c r="E11" s="3">
        <v>-9447</v>
      </c>
      <c r="F11" s="3">
        <v>-12715</v>
      </c>
    </row>
    <row r="12" spans="2:6" x14ac:dyDescent="0.45">
      <c r="B12" s="1" t="s">
        <v>30</v>
      </c>
      <c r="C12" s="3">
        <f>C10+C11</f>
        <v>111443</v>
      </c>
      <c r="D12" s="3">
        <f>D10+D11</f>
        <v>99584</v>
      </c>
      <c r="E12" s="3">
        <f>E10+E11</f>
        <v>108807</v>
      </c>
      <c r="F12" s="3">
        <f>F10+F11</f>
        <v>98767</v>
      </c>
    </row>
    <row r="13" spans="2:6" x14ac:dyDescent="0.45">
      <c r="B13" s="1"/>
      <c r="C13" s="3"/>
      <c r="D13" s="3"/>
      <c r="E13" s="3"/>
      <c r="F13" s="3"/>
    </row>
    <row r="14" spans="2:6" x14ac:dyDescent="0.45">
      <c r="B14" s="1"/>
      <c r="C14" s="3"/>
      <c r="D14" s="3"/>
      <c r="E14" s="3"/>
      <c r="F14" s="3"/>
    </row>
    <row r="15" spans="2:6" x14ac:dyDescent="0.45">
      <c r="B15" s="1" t="s">
        <v>31</v>
      </c>
      <c r="C15" s="6">
        <v>0</v>
      </c>
      <c r="D15" s="6">
        <v>-9.5000000000000001E-2</v>
      </c>
      <c r="E15" s="6">
        <v>6.9800000000000001E-2</v>
      </c>
      <c r="F15" s="6">
        <v>-5.7299999999999997E-2</v>
      </c>
    </row>
    <row r="16" spans="2:6" x14ac:dyDescent="0.45">
      <c r="B16" s="1" t="s">
        <v>32</v>
      </c>
      <c r="C16" s="6">
        <v>0</v>
      </c>
      <c r="D16" s="6">
        <v>2.3400000000000001E-2</v>
      </c>
      <c r="E16" s="6">
        <v>-0.13800000000000001</v>
      </c>
      <c r="F16" s="6">
        <v>0.34589999999999999</v>
      </c>
    </row>
    <row r="17" spans="2:6" x14ac:dyDescent="0.45">
      <c r="B17" s="1" t="s">
        <v>33</v>
      </c>
      <c r="C17" s="6">
        <v>0</v>
      </c>
      <c r="D17" s="6">
        <v>-0.10639999999999999</v>
      </c>
      <c r="E17" s="6">
        <v>9.2600000000000002E-2</v>
      </c>
      <c r="F17" s="6">
        <v>-9.2300000000000007E-2</v>
      </c>
    </row>
    <row r="18" spans="2:6" x14ac:dyDescent="0.45">
      <c r="B18" s="1" t="s">
        <v>34</v>
      </c>
      <c r="C18" s="6">
        <v>0.9123</v>
      </c>
      <c r="D18" s="6">
        <v>0.90090000000000003</v>
      </c>
      <c r="E18" s="6">
        <v>0.92010000000000003</v>
      </c>
      <c r="F18" s="6">
        <v>0.88590000000000002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9"/>
  <sheetViews>
    <sheetView workbookViewId="0"/>
  </sheetViews>
  <sheetFormatPr defaultRowHeight="14.25" x14ac:dyDescent="0.45"/>
  <cols>
    <col min="2" max="2" width="25.73046875" customWidth="1"/>
  </cols>
  <sheetData>
    <row r="2" spans="2:6" x14ac:dyDescent="0.45">
      <c r="C2" s="5">
        <v>2022</v>
      </c>
      <c r="D2" s="5">
        <v>2023</v>
      </c>
      <c r="E2" s="5">
        <v>2024</v>
      </c>
      <c r="F2" s="5">
        <v>2025</v>
      </c>
    </row>
    <row r="3" spans="2:6" x14ac:dyDescent="0.45">
      <c r="B3" s="1" t="s">
        <v>35</v>
      </c>
      <c r="C3" s="3">
        <f>C4+C7</f>
        <v>352755</v>
      </c>
      <c r="D3" s="3">
        <f>D4+D7</f>
        <v>352583</v>
      </c>
      <c r="E3" s="3">
        <f>E4+E7</f>
        <v>364980</v>
      </c>
      <c r="F3" s="3">
        <f>F4+F7</f>
        <v>359241</v>
      </c>
    </row>
    <row r="4" spans="2:6" x14ac:dyDescent="0.45">
      <c r="B4" s="1" t="s">
        <v>36</v>
      </c>
      <c r="C4" s="3">
        <v>135405</v>
      </c>
      <c r="D4" s="3">
        <v>143566</v>
      </c>
      <c r="E4" s="3">
        <v>152987</v>
      </c>
      <c r="F4" s="3">
        <v>147957</v>
      </c>
    </row>
    <row r="5" spans="2:6" x14ac:dyDescent="0.45">
      <c r="B5" s="1" t="s">
        <v>37</v>
      </c>
      <c r="C5" s="3">
        <v>48304</v>
      </c>
      <c r="D5" s="3">
        <v>61555</v>
      </c>
      <c r="E5" s="3">
        <v>65171</v>
      </c>
      <c r="F5" s="3">
        <v>54697</v>
      </c>
    </row>
    <row r="6" spans="2:6" x14ac:dyDescent="0.45">
      <c r="B6" s="1" t="s">
        <v>38</v>
      </c>
      <c r="C6" s="3">
        <v>4946</v>
      </c>
      <c r="D6" s="3">
        <v>6331</v>
      </c>
      <c r="E6" s="3">
        <v>7286</v>
      </c>
      <c r="F6" s="3">
        <v>5718</v>
      </c>
    </row>
    <row r="7" spans="2:6" x14ac:dyDescent="0.45">
      <c r="B7" s="1" t="s">
        <v>39</v>
      </c>
      <c r="C7" s="3">
        <v>217350</v>
      </c>
      <c r="D7" s="3">
        <v>209017</v>
      </c>
      <c r="E7" s="3">
        <v>211993</v>
      </c>
      <c r="F7" s="3">
        <v>211284</v>
      </c>
    </row>
    <row r="8" spans="2:6" x14ac:dyDescent="0.45">
      <c r="B8" s="1" t="s">
        <v>40</v>
      </c>
      <c r="C8" s="3">
        <v>42117</v>
      </c>
      <c r="D8" s="3">
        <v>43715</v>
      </c>
      <c r="E8" s="3">
        <v>45680</v>
      </c>
      <c r="F8" s="3">
        <v>49834</v>
      </c>
    </row>
    <row r="9" spans="2:6" x14ac:dyDescent="0.45">
      <c r="B9" s="1" t="s">
        <v>41</v>
      </c>
      <c r="C9" s="3">
        <f>C10+C12</f>
        <v>302083</v>
      </c>
      <c r="D9" s="3">
        <f>D10+D12</f>
        <v>290437</v>
      </c>
      <c r="E9" s="3">
        <f>E10+E12</f>
        <v>308030</v>
      </c>
      <c r="F9" s="3">
        <f>F10+F12</f>
        <v>285508</v>
      </c>
    </row>
    <row r="10" spans="2:6" x14ac:dyDescent="0.45">
      <c r="B10" s="1" t="s">
        <v>42</v>
      </c>
      <c r="C10" s="3">
        <v>153982</v>
      </c>
      <c r="D10" s="3">
        <v>145308</v>
      </c>
      <c r="E10" s="3">
        <v>176392</v>
      </c>
      <c r="F10" s="3">
        <v>165631</v>
      </c>
    </row>
    <row r="11" spans="2:6" x14ac:dyDescent="0.45">
      <c r="B11" s="1" t="s">
        <v>43</v>
      </c>
      <c r="C11" s="3">
        <v>22773</v>
      </c>
      <c r="D11" s="3">
        <v>15807</v>
      </c>
      <c r="E11" s="3">
        <v>20879</v>
      </c>
      <c r="F11" s="3">
        <v>20329</v>
      </c>
    </row>
    <row r="12" spans="2:6" x14ac:dyDescent="0.45">
      <c r="B12" s="1" t="s">
        <v>44</v>
      </c>
      <c r="C12" s="3">
        <v>148101</v>
      </c>
      <c r="D12" s="3">
        <v>145129</v>
      </c>
      <c r="E12" s="3">
        <v>131638</v>
      </c>
      <c r="F12" s="3">
        <v>119877</v>
      </c>
    </row>
    <row r="13" spans="2:6" x14ac:dyDescent="0.45">
      <c r="B13" s="1" t="s">
        <v>45</v>
      </c>
      <c r="C13" s="3">
        <v>109707</v>
      </c>
      <c r="D13" s="3">
        <v>95281</v>
      </c>
      <c r="E13" s="3">
        <v>85750</v>
      </c>
      <c r="F13" s="3">
        <v>78328</v>
      </c>
    </row>
    <row r="14" spans="2:6" x14ac:dyDescent="0.45">
      <c r="B14" s="1" t="s">
        <v>46</v>
      </c>
      <c r="C14" s="3">
        <f>C3+C9</f>
        <v>654838</v>
      </c>
      <c r="D14" s="3">
        <f>D3+D9</f>
        <v>643020</v>
      </c>
      <c r="E14" s="3">
        <f>E3+E9</f>
        <v>673010</v>
      </c>
      <c r="F14" s="3">
        <f>F3+F9</f>
        <v>644749</v>
      </c>
    </row>
    <row r="15" spans="2:6" x14ac:dyDescent="0.45">
      <c r="B15" s="1" t="s">
        <v>47</v>
      </c>
      <c r="C15" s="3">
        <v>50672</v>
      </c>
      <c r="D15" s="3">
        <v>62146</v>
      </c>
      <c r="E15" s="3">
        <v>56950</v>
      </c>
      <c r="F15" s="3">
        <v>73733</v>
      </c>
    </row>
    <row r="16" spans="2:6" x14ac:dyDescent="0.45">
      <c r="B16" s="1" t="s">
        <v>48</v>
      </c>
      <c r="C16" s="3">
        <v>-3068</v>
      </c>
      <c r="D16" s="3">
        <v>-214</v>
      </c>
      <c r="E16" s="3">
        <v>-19154</v>
      </c>
      <c r="F16" s="3">
        <v>-14264</v>
      </c>
    </row>
    <row r="17" spans="2:6" x14ac:dyDescent="0.45">
      <c r="B17" s="1" t="s">
        <v>49</v>
      </c>
      <c r="C17" s="3">
        <v>84176</v>
      </c>
      <c r="D17" s="3">
        <v>49533</v>
      </c>
      <c r="E17" s="3">
        <v>41458</v>
      </c>
      <c r="F17" s="3">
        <v>43960</v>
      </c>
    </row>
    <row r="18" spans="2:6" x14ac:dyDescent="0.45">
      <c r="B18" s="1" t="s">
        <v>50</v>
      </c>
      <c r="C18" s="3">
        <v>47063</v>
      </c>
      <c r="D18" s="3">
        <v>50046</v>
      </c>
      <c r="E18" s="3">
        <v>52966</v>
      </c>
      <c r="F18" s="3">
        <v>55552</v>
      </c>
    </row>
    <row r="19" spans="2:6" x14ac:dyDescent="0.45">
      <c r="B19" s="1" t="s">
        <v>51</v>
      </c>
      <c r="C19" s="3">
        <v>198773</v>
      </c>
      <c r="D19" s="3">
        <v>207275</v>
      </c>
      <c r="E19" s="3">
        <v>188588</v>
      </c>
      <c r="F19" s="3">
        <v>193610</v>
      </c>
    </row>
    <row r="20" spans="2:6" x14ac:dyDescent="0.45">
      <c r="B20" s="1" t="s">
        <v>52</v>
      </c>
      <c r="C20" s="3">
        <v>147095</v>
      </c>
      <c r="D20" s="3">
        <v>143269</v>
      </c>
      <c r="E20" s="3">
        <v>133636</v>
      </c>
      <c r="F20" s="3">
        <v>136456</v>
      </c>
    </row>
    <row r="21" spans="2:6" x14ac:dyDescent="0.45">
      <c r="B21" s="1" t="s">
        <v>53</v>
      </c>
      <c r="C21" s="3">
        <v>-166678</v>
      </c>
      <c r="D21" s="3">
        <v>-146871</v>
      </c>
      <c r="E21" s="3">
        <v>-155043</v>
      </c>
      <c r="F21" s="3">
        <v>-137551</v>
      </c>
    </row>
    <row r="22" spans="2:6" x14ac:dyDescent="0.45">
      <c r="B22" s="1" t="s">
        <v>54</v>
      </c>
      <c r="C22" s="3">
        <v>15943</v>
      </c>
      <c r="D22" s="3">
        <v>15550</v>
      </c>
      <c r="E22" s="3">
        <v>15117</v>
      </c>
      <c r="F22" s="3">
        <v>14773</v>
      </c>
    </row>
    <row r="23" spans="2:6" x14ac:dyDescent="0.45">
      <c r="B23" s="1"/>
      <c r="C23" s="3"/>
      <c r="D23" s="3"/>
      <c r="E23" s="3"/>
      <c r="F23" s="3"/>
    </row>
    <row r="24" spans="2:6" x14ac:dyDescent="0.45">
      <c r="B24" s="1"/>
      <c r="C24" s="3"/>
      <c r="D24" s="3"/>
      <c r="E24" s="3"/>
      <c r="F24" s="3"/>
    </row>
    <row r="25" spans="2:6" x14ac:dyDescent="0.45">
      <c r="B25" s="1" t="s">
        <v>55</v>
      </c>
      <c r="C25" s="6">
        <v>2.6145</v>
      </c>
      <c r="D25" s="6">
        <v>1.7875000000000001</v>
      </c>
      <c r="E25" s="6">
        <v>1.8723000000000001</v>
      </c>
      <c r="F25" s="6">
        <v>1.3380000000000001</v>
      </c>
    </row>
    <row r="26" spans="2:6" x14ac:dyDescent="0.45">
      <c r="B26" s="1" t="s">
        <v>56</v>
      </c>
      <c r="C26" s="6">
        <v>0</v>
      </c>
      <c r="D26" s="6">
        <v>-5.0000000000000001E-4</v>
      </c>
      <c r="E26" s="6">
        <v>3.5200000000000002E-2</v>
      </c>
      <c r="F26" s="6">
        <v>-1.5699999999999999E-2</v>
      </c>
    </row>
    <row r="27" spans="2:6" x14ac:dyDescent="0.45">
      <c r="B27" s="1" t="s">
        <v>57</v>
      </c>
      <c r="C27" s="6">
        <v>0</v>
      </c>
      <c r="D27" s="6">
        <v>6.3399999999999998E-2</v>
      </c>
      <c r="E27" s="6">
        <v>5.8299999999999998E-2</v>
      </c>
      <c r="F27" s="6">
        <v>4.8800000000000003E-2</v>
      </c>
    </row>
    <row r="28" spans="2:6" x14ac:dyDescent="0.45">
      <c r="B28" s="1" t="s">
        <v>58</v>
      </c>
      <c r="C28" s="6">
        <v>0</v>
      </c>
      <c r="D28" s="6">
        <v>0.22639999999999999</v>
      </c>
      <c r="E28" s="6">
        <v>-8.3599999999999994E-2</v>
      </c>
      <c r="F28" s="6">
        <v>0.29470000000000002</v>
      </c>
    </row>
    <row r="29" spans="2:6" x14ac:dyDescent="0.45">
      <c r="B29" s="1" t="s">
        <v>59</v>
      </c>
      <c r="C29" s="6">
        <v>0</v>
      </c>
      <c r="D29" s="6">
        <v>-2.5999999999999999E-2</v>
      </c>
      <c r="E29" s="6">
        <v>-6.7199999999999996E-2</v>
      </c>
      <c r="F29" s="6">
        <v>2.1100000000000001E-2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Income Statement</vt:lpstr>
      <vt:lpstr>Cash Flow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2026-02-09T05:44:03Z</dcterms:created>
  <dcterms:modified xsi:type="dcterms:W3CDTF">2026-02-09T05:47:27Z</dcterms:modified>
</cp:coreProperties>
</file>