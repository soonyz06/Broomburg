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Income Statement(a)" sheetId="2" r:id="rId2"/>
    <sheet name="Income Statement(q)" sheetId="3" r:id="rId3"/>
    <sheet name="Cash Flow(a)" sheetId="4" r:id="rId4"/>
    <sheet name="Cash Flow(q)" sheetId="5" r:id="rId5"/>
    <sheet name="Balance Sheet(a)" sheetId="6" r:id="rId6"/>
    <sheet name="Balance Sheet(q)" sheetId="7" r:id="rId7"/>
  </sheets>
  <calcPr calcId="124519" fullCalcOnLoad="1"/>
</workbook>
</file>

<file path=xl/sharedStrings.xml><?xml version="1.0" encoding="utf-8"?>
<sst xmlns="http://schemas.openxmlformats.org/spreadsheetml/2006/main" count="190" uniqueCount="94">
  <si>
    <t>USD (in thousands)</t>
  </si>
  <si>
    <t>Revenue</t>
  </si>
  <si>
    <t>COGS</t>
  </si>
  <si>
    <t>Gross Profit</t>
  </si>
  <si>
    <t>SG&amp;A</t>
  </si>
  <si>
    <t>R&amp;D</t>
  </si>
  <si>
    <t>Others</t>
  </si>
  <si>
    <t>Operating Expense</t>
  </si>
  <si>
    <t>Operating Income</t>
  </si>
  <si>
    <t>Net Interest</t>
  </si>
  <si>
    <t>Other Income</t>
  </si>
  <si>
    <t>Pretax Income</t>
  </si>
  <si>
    <t>Taxes</t>
  </si>
  <si>
    <t>After-Tax Adj</t>
  </si>
  <si>
    <t>Net Income</t>
  </si>
  <si>
    <t>Other Stockholders</t>
  </si>
  <si>
    <t>NI Common</t>
  </si>
  <si>
    <t>Avg Shares</t>
  </si>
  <si>
    <t>Rev Growth</t>
  </si>
  <si>
    <t>Gross Margin</t>
  </si>
  <si>
    <t>Op Margin</t>
  </si>
  <si>
    <t>Net Margin</t>
  </si>
  <si>
    <t>FY24Q4</t>
  </si>
  <si>
    <t>FY25Q1</t>
  </si>
  <si>
    <t>FY25Q2</t>
  </si>
  <si>
    <t>FY25Q3</t>
  </si>
  <si>
    <t>FY25Q4</t>
  </si>
  <si>
    <t>D&amp;A</t>
  </si>
  <si>
    <t>Change In Working Capital</t>
  </si>
  <si>
    <t>Other Adj</t>
  </si>
  <si>
    <t>CFO</t>
  </si>
  <si>
    <t>Purchase Of Business</t>
  </si>
  <si>
    <t>Purchase Of Investment</t>
  </si>
  <si>
    <t>Sale Of Investment</t>
  </si>
  <si>
    <t>Other Investing</t>
  </si>
  <si>
    <t>CFI</t>
  </si>
  <si>
    <t>Repayment Of Debt</t>
  </si>
  <si>
    <t>Repurchase Of Capital Stock</t>
  </si>
  <si>
    <t>Cash Dividends Paid</t>
  </si>
  <si>
    <t>Common Stock Issuance</t>
  </si>
  <si>
    <t>Other Financing</t>
  </si>
  <si>
    <t>CFF</t>
  </si>
  <si>
    <t>Changes In Cash</t>
  </si>
  <si>
    <t>Supplementary Adj</t>
  </si>
  <si>
    <t>Beginning Cash Position</t>
  </si>
  <si>
    <t>End Cash Position</t>
  </si>
  <si>
    <t>OCF</t>
  </si>
  <si>
    <t>Cap Ex</t>
  </si>
  <si>
    <t>FCF</t>
  </si>
  <si>
    <t>CFGrowth</t>
  </si>
  <si>
    <t>CXChange</t>
  </si>
  <si>
    <t>FCFGrowth</t>
  </si>
  <si>
    <t>FCFMargin</t>
  </si>
  <si>
    <t>Cash &amp; Short Inv</t>
  </si>
  <si>
    <t>Accounts Receivable</t>
  </si>
  <si>
    <t>Inventory</t>
  </si>
  <si>
    <t>Other Current Assets</t>
  </si>
  <si>
    <t>Current Assets</t>
  </si>
  <si>
    <t>PPE</t>
  </si>
  <si>
    <t>Goodwill</t>
  </si>
  <si>
    <t>Other Assets</t>
  </si>
  <si>
    <t>Non-Current Assets</t>
  </si>
  <si>
    <t>Total Assets</t>
  </si>
  <si>
    <t>Accounts Payable</t>
  </si>
  <si>
    <t>Short Term Debt</t>
  </si>
  <si>
    <t>Other Current Liabilities</t>
  </si>
  <si>
    <t>Current Liabilities</t>
  </si>
  <si>
    <t>Long Term Debt</t>
  </si>
  <si>
    <t>Other Liabilities</t>
  </si>
  <si>
    <t>Non-Current Liabilities</t>
  </si>
  <si>
    <t>Total Liabilities</t>
  </si>
  <si>
    <t>Additional Paid In Capital</t>
  </si>
  <si>
    <t>Retained Earnings</t>
  </si>
  <si>
    <t>Accumulated Other Changes</t>
  </si>
  <si>
    <t>Stockholders Equity</t>
  </si>
  <si>
    <t>Non-Controlling Interest</t>
  </si>
  <si>
    <t>Total Equity</t>
  </si>
  <si>
    <t>Common Stock Equity</t>
  </si>
  <si>
    <t>Total Debt</t>
  </si>
  <si>
    <t>Net Debt</t>
  </si>
  <si>
    <t>Tangible Assets</t>
  </si>
  <si>
    <t>Invested Capital</t>
  </si>
  <si>
    <t>NCAV</t>
  </si>
  <si>
    <t>Shares</t>
  </si>
  <si>
    <t>D_E</t>
  </si>
  <si>
    <t>Assets Growth</t>
  </si>
  <si>
    <t>TAGrowth</t>
  </si>
  <si>
    <t>Equity Growth</t>
  </si>
  <si>
    <t>ICGrowth</t>
  </si>
  <si>
    <t>Price</t>
  </si>
  <si>
    <t>MC</t>
  </si>
  <si>
    <t>Cash</t>
  </si>
  <si>
    <t>Debt</t>
  </si>
  <si>
    <t>EV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</si>
</sst>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#,##0"/>
    <numFmt numFmtId="166" formatCode="0.0"/>
    <numFmt numFmtId="167" formatCode="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9"/>
  <sheetViews>
    <sheetView tabSelected="1" workbookViewId="0"/>
  </sheetViews>
  <sheetFormatPr defaultRowHeight="15"/>
  <cols>
    <col min="2" max="2" width="12.7109375" customWidth="1"/>
    <col min="9" max="9" width="8.7109375" customWidth="1"/>
  </cols>
  <sheetData>
    <row r="3" spans="2:10">
      <c r="B3" s="1" t="s">
        <v>0</v>
      </c>
      <c r="I3" s="1" t="s">
        <v>89</v>
      </c>
      <c r="J3" s="2">
        <v>62.65</v>
      </c>
    </row>
    <row r="4" spans="2:10">
      <c r="I4" s="1" t="s">
        <v>83</v>
      </c>
      <c r="J4" s="3">
        <v>708706.0686352754</v>
      </c>
    </row>
    <row r="5" spans="2:10">
      <c r="I5" s="1" t="s">
        <v>90</v>
      </c>
      <c r="J5" s="3">
        <f>J3*J4</f>
        <v>0</v>
      </c>
    </row>
    <row r="6" spans="2:10">
      <c r="I6" s="1" t="s">
        <v>91</v>
      </c>
      <c r="J6" s="3">
        <v>3055142</v>
      </c>
    </row>
    <row r="7" spans="2:10">
      <c r="I7" s="1" t="s">
        <v>92</v>
      </c>
      <c r="J7" s="3">
        <v>1802704</v>
      </c>
    </row>
    <row r="8" spans="2:10">
      <c r="I8" s="1" t="s">
        <v>93</v>
      </c>
      <c r="J8" s="3">
        <f>J5+J7-J6</f>
        <v>0</v>
      </c>
    </row>
    <row r="9" spans="2:10">
      <c r="J9" s="4">
        <f>J8/'Income Statement(a)'!E10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F25"/>
  <sheetViews>
    <sheetView workbookViewId="0"/>
  </sheetViews>
  <sheetFormatPr defaultRowHeight="15"/>
  <cols>
    <col min="2" max="2" width="20.7109375" customWidth="1"/>
  </cols>
  <sheetData>
    <row r="2" spans="2:6">
      <c r="C2" s="5">
        <v>2022</v>
      </c>
      <c r="D2" s="5">
        <v>2023</v>
      </c>
      <c r="E2" s="5">
        <v>2024</v>
      </c>
      <c r="F2" s="5">
        <v>2025</v>
      </c>
    </row>
    <row r="3" spans="2:6">
      <c r="B3" s="1" t="s">
        <v>1</v>
      </c>
      <c r="C3" s="3">
        <v>2225</v>
      </c>
      <c r="D3" s="3">
        <v>2799</v>
      </c>
      <c r="E3" s="3">
        <v>3602</v>
      </c>
      <c r="F3" s="3">
        <v>4891</v>
      </c>
    </row>
    <row r="4" spans="2:6">
      <c r="B4" s="1" t="s">
        <v>2</v>
      </c>
      <c r="C4" s="3">
        <v>-548</v>
      </c>
      <c r="D4" s="3">
        <v>-649</v>
      </c>
      <c r="E4" s="3">
        <v>-801</v>
      </c>
      <c r="F4" s="3">
        <v>-1072</v>
      </c>
    </row>
    <row r="5" spans="2:6">
      <c r="B5" s="1" t="s">
        <v>3</v>
      </c>
      <c r="C5" s="3">
        <f>C3+C4</f>
        <v>0</v>
      </c>
      <c r="D5" s="3">
        <f>D3+D4</f>
        <v>0</v>
      </c>
      <c r="E5" s="3">
        <f>E3+E4</f>
        <v>0</v>
      </c>
      <c r="F5" s="3">
        <f>F3+F4</f>
        <v>0</v>
      </c>
    </row>
    <row r="6" spans="2:6">
      <c r="B6" s="1" t="s">
        <v>4</v>
      </c>
      <c r="C6" s="3">
        <v>-415</v>
      </c>
      <c r="D6" s="3">
        <v>-537</v>
      </c>
      <c r="E6" s="3">
        <v>-582</v>
      </c>
      <c r="F6" s="3">
        <v>-826</v>
      </c>
    </row>
    <row r="7" spans="2:6">
      <c r="B7" s="1" t="s">
        <v>5</v>
      </c>
      <c r="C7" s="3">
        <v>-873</v>
      </c>
      <c r="D7" s="3">
        <v>-1254</v>
      </c>
      <c r="E7" s="3">
        <v>-1444</v>
      </c>
      <c r="F7" s="3">
        <v>-1568</v>
      </c>
    </row>
    <row r="8" spans="2:6">
      <c r="B8" s="1" t="s">
        <v>6</v>
      </c>
      <c r="C8" s="3">
        <v>-1313</v>
      </c>
      <c r="D8" s="3">
        <v>-1619</v>
      </c>
      <c r="E8" s="3">
        <v>-1838</v>
      </c>
      <c r="F8" s="3">
        <v>-2657</v>
      </c>
    </row>
    <row r="9" spans="2:6">
      <c r="B9" s="1" t="s">
        <v>7</v>
      </c>
      <c r="C9" s="3">
        <f>C6+C7+C8</f>
        <v>0</v>
      </c>
      <c r="D9" s="3">
        <f>D6+D7+D8</f>
        <v>0</v>
      </c>
      <c r="E9" s="3">
        <f>E6+E7+E8</f>
        <v>0</v>
      </c>
      <c r="F9" s="3">
        <f>F6+F7+F8</f>
        <v>0</v>
      </c>
    </row>
    <row r="10" spans="2:6">
      <c r="B10" s="1" t="s">
        <v>8</v>
      </c>
      <c r="C10" s="3">
        <f>C5+C9</f>
        <v>0</v>
      </c>
      <c r="D10" s="3">
        <f>D5+D9</f>
        <v>0</v>
      </c>
      <c r="E10" s="3">
        <f>E5+E9</f>
        <v>0</v>
      </c>
      <c r="F10" s="3">
        <f>F5+F9</f>
        <v>0</v>
      </c>
    </row>
    <row r="11" spans="2:6">
      <c r="B11" s="1" t="s">
        <v>9</v>
      </c>
      <c r="C11" s="3">
        <v>-1</v>
      </c>
      <c r="D11" s="3">
        <v>101</v>
      </c>
      <c r="E11" s="3">
        <v>138</v>
      </c>
      <c r="F11" s="3">
        <v>160</v>
      </c>
    </row>
    <row r="12" spans="2:6">
      <c r="B12" s="1" t="s">
        <v>10</v>
      </c>
      <c r="C12" s="3">
        <v>-6</v>
      </c>
      <c r="D12" s="3">
        <v>-1</v>
      </c>
      <c r="E12" s="3">
        <v>-12</v>
      </c>
      <c r="F12" s="3">
        <v>4</v>
      </c>
    </row>
    <row r="13" spans="2:6">
      <c r="B13" s="1" t="s">
        <v>11</v>
      </c>
      <c r="C13" s="3">
        <f>C10+C11+C12</f>
        <v>0</v>
      </c>
      <c r="D13" s="3">
        <f>D10+D11+D12</f>
        <v>0</v>
      </c>
      <c r="E13" s="3">
        <f>E10+E11+E12</f>
        <v>0</v>
      </c>
      <c r="F13" s="3">
        <f>F10+F11+F12</f>
        <v>0</v>
      </c>
    </row>
    <row r="14" spans="2:6">
      <c r="B14" s="1" t="s">
        <v>12</v>
      </c>
      <c r="C14" s="3">
        <v>-4</v>
      </c>
      <c r="D14" s="3">
        <v>0</v>
      </c>
      <c r="E14" s="3">
        <v>-4</v>
      </c>
      <c r="F14" s="3">
        <v>-4</v>
      </c>
    </row>
    <row r="15" spans="2:6">
      <c r="B15" s="1" t="s">
        <v>13</v>
      </c>
      <c r="C15" s="3">
        <v>10</v>
      </c>
      <c r="D15" s="3">
        <v>7</v>
      </c>
      <c r="E15" s="3">
        <v>5</v>
      </c>
      <c r="F15" s="3">
        <v>7</v>
      </c>
    </row>
    <row r="16" spans="2:6">
      <c r="B16" s="1" t="s">
        <v>14</v>
      </c>
      <c r="C16" s="3">
        <f>C13+C14+C15</f>
        <v>0</v>
      </c>
      <c r="D16" s="3">
        <f>D13+D14+D15</f>
        <v>0</v>
      </c>
      <c r="E16" s="3">
        <f>E13+E14+E15</f>
        <v>0</v>
      </c>
      <c r="F16" s="3">
        <f>F13+F14+F15</f>
        <v>0</v>
      </c>
    </row>
    <row r="17" spans="2:6">
      <c r="B17" s="1" t="s">
        <v>15</v>
      </c>
      <c r="C17" s="3">
        <v>0</v>
      </c>
      <c r="D17" s="3">
        <v>0</v>
      </c>
      <c r="E17" s="3">
        <v>0</v>
      </c>
      <c r="F17" s="3">
        <v>0</v>
      </c>
    </row>
    <row r="18" spans="2:6">
      <c r="B18" s="1" t="s">
        <v>16</v>
      </c>
      <c r="C18" s="3">
        <f>C16+C17</f>
        <v>0</v>
      </c>
      <c r="D18" s="3">
        <f>D16+D17</f>
        <v>0</v>
      </c>
      <c r="E18" s="3">
        <f>E16+E17</f>
        <v>0</v>
      </c>
      <c r="F18" s="3">
        <f>F16+F17</f>
        <v>0</v>
      </c>
    </row>
    <row r="19" spans="2:6">
      <c r="B19" s="1" t="s">
        <v>17</v>
      </c>
      <c r="C19" s="3">
        <v>605</v>
      </c>
      <c r="D19" s="3">
        <v>631</v>
      </c>
      <c r="E19" s="3">
        <v>666</v>
      </c>
      <c r="F19" s="3">
        <v>708</v>
      </c>
    </row>
    <row r="20" spans="2:6">
      <c r="B20" s="1"/>
      <c r="C20" s="3"/>
      <c r="D20" s="3"/>
      <c r="E20" s="3"/>
      <c r="F20" s="3"/>
    </row>
    <row r="21" spans="2:6">
      <c r="B21" s="1"/>
      <c r="C21" s="3"/>
      <c r="D21" s="3"/>
      <c r="E21" s="3"/>
      <c r="F21" s="3"/>
    </row>
    <row r="22" spans="2:6">
      <c r="B22" s="1" t="s">
        <v>18</v>
      </c>
      <c r="C22" s="6">
        <v>0</v>
      </c>
      <c r="D22" s="6">
        <f>IFERROR((D3-C3)/C3,0)</f>
        <v>0</v>
      </c>
      <c r="E22" s="6">
        <f>IFERROR((E3-D3)/D3,0)</f>
        <v>0</v>
      </c>
      <c r="F22" s="6">
        <f>IFERROR((F3-E3)/E3,0)</f>
        <v>0</v>
      </c>
    </row>
    <row r="23" spans="2:6">
      <c r="B23" s="1" t="s">
        <v>19</v>
      </c>
      <c r="C23" s="6">
        <f>C5/C3</f>
        <v>0</v>
      </c>
      <c r="D23" s="6">
        <f>D5/D3</f>
        <v>0</v>
      </c>
      <c r="E23" s="6">
        <f>E5/E3</f>
        <v>0</v>
      </c>
      <c r="F23" s="6">
        <f>F5/F3</f>
        <v>0</v>
      </c>
    </row>
    <row r="24" spans="2:6">
      <c r="B24" s="1" t="s">
        <v>20</v>
      </c>
      <c r="C24" s="6">
        <f>C10/C3</f>
        <v>0</v>
      </c>
      <c r="D24" s="6">
        <f>D10/D3</f>
        <v>0</v>
      </c>
      <c r="E24" s="6">
        <f>E10/E3</f>
        <v>0</v>
      </c>
      <c r="F24" s="6">
        <f>F10/F3</f>
        <v>0</v>
      </c>
    </row>
    <row r="25" spans="2:6">
      <c r="B25" s="1" t="s">
        <v>21</v>
      </c>
      <c r="C25" s="6">
        <f>C18/C3</f>
        <v>0</v>
      </c>
      <c r="D25" s="6">
        <f>D18/D3</f>
        <v>0</v>
      </c>
      <c r="E25" s="6">
        <f>E18/E3</f>
        <v>0</v>
      </c>
      <c r="F25" s="6">
        <f>F18/F3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G25"/>
  <sheetViews>
    <sheetView workbookViewId="0"/>
  </sheetViews>
  <sheetFormatPr defaultRowHeight="15"/>
  <cols>
    <col min="2" max="2" width="20.7109375" customWidth="1"/>
  </cols>
  <sheetData>
    <row r="2" spans="2:7"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</row>
    <row r="3" spans="2:7">
      <c r="B3" s="1" t="s">
        <v>1</v>
      </c>
      <c r="C3" s="3">
        <v>988183</v>
      </c>
      <c r="D3" s="3">
        <v>1035207</v>
      </c>
      <c r="E3" s="3">
        <v>1080677</v>
      </c>
      <c r="F3" s="3">
        <v>1359646</v>
      </c>
      <c r="G3" s="3">
        <v>1415021</v>
      </c>
    </row>
    <row r="4" spans="2:7">
      <c r="B4" s="1" t="s">
        <v>2</v>
      </c>
      <c r="C4" s="3">
        <v>-218741</v>
      </c>
      <c r="D4" s="3">
        <v>-224725</v>
      </c>
      <c r="E4" s="3">
        <v>-236113</v>
      </c>
      <c r="F4" s="3">
        <v>-296456</v>
      </c>
      <c r="G4" s="3">
        <v>-315005</v>
      </c>
    </row>
    <row r="5" spans="2:7">
      <c r="B5" s="1" t="s">
        <v>3</v>
      </c>
      <c r="C5" s="3">
        <f>C3+C4</f>
        <v>0</v>
      </c>
      <c r="D5" s="3">
        <f>D3+D4</f>
        <v>0</v>
      </c>
      <c r="E5" s="3">
        <f>E3+E4</f>
        <v>0</v>
      </c>
      <c r="F5" s="3">
        <f>F3+F4</f>
        <v>0</v>
      </c>
      <c r="G5" s="3">
        <f>G3+G4</f>
        <v>0</v>
      </c>
    </row>
    <row r="6" spans="2:7">
      <c r="B6" s="1" t="s">
        <v>4</v>
      </c>
      <c r="C6" s="3">
        <v>-155088</v>
      </c>
      <c r="D6" s="3">
        <v>-166900</v>
      </c>
      <c r="E6" s="3">
        <v>-204973</v>
      </c>
      <c r="F6" s="3">
        <v>-212123</v>
      </c>
      <c r="G6" s="3">
        <v>-242291</v>
      </c>
    </row>
    <row r="7" spans="2:7">
      <c r="B7" s="1" t="s">
        <v>5</v>
      </c>
      <c r="C7" s="3">
        <v>-355034</v>
      </c>
      <c r="D7" s="3">
        <v>-374600</v>
      </c>
      <c r="E7" s="3">
        <v>-384996</v>
      </c>
      <c r="F7" s="3">
        <v>-398306</v>
      </c>
      <c r="G7" s="3">
        <v>-409845</v>
      </c>
    </row>
    <row r="8" spans="2:7">
      <c r="B8" s="1" t="s">
        <v>6</v>
      </c>
      <c r="C8" s="3">
        <v>-503432</v>
      </c>
      <c r="D8" s="3">
        <v>-523691</v>
      </c>
      <c r="E8" s="3">
        <v>-577055</v>
      </c>
      <c r="F8" s="3">
        <v>-749296</v>
      </c>
      <c r="G8" s="3">
        <v>-806518</v>
      </c>
    </row>
    <row r="9" spans="2:7">
      <c r="B9" s="1" t="s">
        <v>7</v>
      </c>
      <c r="C9" s="3">
        <f>C6+C7+C8</f>
        <v>0</v>
      </c>
      <c r="D9" s="3">
        <f>D6+D7+D8</f>
        <v>0</v>
      </c>
      <c r="E9" s="3">
        <f>E6+E7+E8</f>
        <v>0</v>
      </c>
      <c r="F9" s="3">
        <f>F6+F7+F8</f>
        <v>0</v>
      </c>
      <c r="G9" s="3">
        <f>G6+G7+G8</f>
        <v>0</v>
      </c>
    </row>
    <row r="10" spans="2:7">
      <c r="B10" s="1" t="s">
        <v>8</v>
      </c>
      <c r="C10" s="3">
        <f>C5+C9</f>
        <v>0</v>
      </c>
      <c r="D10" s="3">
        <f>D5+D9</f>
        <v>0</v>
      </c>
      <c r="E10" s="3">
        <f>E5+E9</f>
        <v>0</v>
      </c>
      <c r="F10" s="3">
        <f>F5+F9</f>
        <v>0</v>
      </c>
      <c r="G10" s="3">
        <f>G5+G9</f>
        <v>0</v>
      </c>
    </row>
    <row r="11" spans="2:7">
      <c r="B11" s="1" t="s">
        <v>9</v>
      </c>
      <c r="C11" s="3">
        <v>35929</v>
      </c>
      <c r="D11" s="3">
        <v>35973</v>
      </c>
      <c r="E11" s="3">
        <v>38502</v>
      </c>
      <c r="F11" s="3">
        <v>41737</v>
      </c>
      <c r="G11" s="3">
        <v>43941</v>
      </c>
    </row>
    <row r="12" spans="2:7">
      <c r="B12" s="1" t="s">
        <v>10</v>
      </c>
      <c r="C12" s="3">
        <v>-10221</v>
      </c>
      <c r="D12" s="3">
        <v>3259</v>
      </c>
      <c r="E12" s="3">
        <v>5131</v>
      </c>
      <c r="F12" s="3">
        <v>-1770</v>
      </c>
      <c r="G12" s="3">
        <v>-2456</v>
      </c>
    </row>
    <row r="13" spans="2:7">
      <c r="B13" s="1" t="s">
        <v>11</v>
      </c>
      <c r="C13" s="3">
        <f>C10+C11+C12</f>
        <v>0</v>
      </c>
      <c r="D13" s="3">
        <f>D10+D11+D12</f>
        <v>0</v>
      </c>
      <c r="E13" s="3">
        <f>E10+E11+E12</f>
        <v>0</v>
      </c>
      <c r="F13" s="3">
        <f>F10+F11+F12</f>
        <v>0</v>
      </c>
      <c r="G13" s="3">
        <f>G10+G11+G12</f>
        <v>0</v>
      </c>
    </row>
    <row r="14" spans="2:7">
      <c r="B14" s="1" t="s">
        <v>12</v>
      </c>
      <c r="C14" s="3">
        <v>-2648</v>
      </c>
      <c r="D14" s="3">
        <v>-863</v>
      </c>
      <c r="E14" s="3">
        <v>-973</v>
      </c>
      <c r="F14" s="3">
        <v>-803</v>
      </c>
      <c r="G14" s="3">
        <v>-954</v>
      </c>
    </row>
    <row r="15" spans="2:7">
      <c r="B15" s="1" t="s">
        <v>13</v>
      </c>
      <c r="C15" s="3">
        <v>1479</v>
      </c>
      <c r="D15" s="3">
        <v>1284</v>
      </c>
      <c r="E15" s="3">
        <v>1425</v>
      </c>
      <c r="F15" s="3">
        <v>1745</v>
      </c>
      <c r="G15" s="3">
        <v>2107</v>
      </c>
    </row>
    <row r="16" spans="2:7">
      <c r="B16" s="1" t="s">
        <v>14</v>
      </c>
      <c r="C16" s="3">
        <f>C13+C14+C15</f>
        <v>0</v>
      </c>
      <c r="D16" s="3">
        <f>D13+D14+D15</f>
        <v>0</v>
      </c>
      <c r="E16" s="3">
        <f>E13+E14+E15</f>
        <v>0</v>
      </c>
      <c r="F16" s="3">
        <f>F13+F14+F15</f>
        <v>0</v>
      </c>
      <c r="G16" s="3">
        <f>G13+G14+G15</f>
        <v>0</v>
      </c>
    </row>
    <row r="17" spans="2:7">
      <c r="B17" s="1" t="s">
        <v>15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2:7">
      <c r="B18" s="1" t="s">
        <v>16</v>
      </c>
      <c r="C18" s="3">
        <f>C16+C17</f>
        <v>0</v>
      </c>
      <c r="D18" s="3">
        <f>D16+D17</f>
        <v>0</v>
      </c>
      <c r="E18" s="3">
        <f>E16+E17</f>
        <v>0</v>
      </c>
      <c r="F18" s="3">
        <f>F16+F17</f>
        <v>0</v>
      </c>
      <c r="G18" s="3">
        <f>G16+G17</f>
        <v>0</v>
      </c>
    </row>
    <row r="19" spans="2:7">
      <c r="B19" s="1" t="s">
        <v>17</v>
      </c>
      <c r="C19" s="3">
        <v>666419</v>
      </c>
      <c r="D19" s="3">
        <v>677750</v>
      </c>
      <c r="E19" s="3">
        <v>693161</v>
      </c>
      <c r="F19" s="3">
        <v>701867</v>
      </c>
      <c r="G19" s="3">
        <v>708359</v>
      </c>
    </row>
    <row r="20" spans="2:7">
      <c r="B20" s="1"/>
      <c r="C20" s="3"/>
      <c r="D20" s="3"/>
      <c r="E20" s="3"/>
      <c r="F20" s="3"/>
      <c r="G20" s="3"/>
    </row>
    <row r="21" spans="2:7">
      <c r="B21" s="1"/>
      <c r="C21" s="3"/>
      <c r="D21" s="3"/>
      <c r="E21" s="3"/>
      <c r="F21" s="3"/>
      <c r="G21" s="3"/>
    </row>
    <row r="22" spans="2:7">
      <c r="B22" s="1" t="s">
        <v>18</v>
      </c>
      <c r="C22" s="6">
        <v>0</v>
      </c>
      <c r="D22" s="6">
        <f>IFERROR((D3-C3)/C3,0)</f>
        <v>0</v>
      </c>
      <c r="E22" s="6">
        <f>IFERROR((E3-D3)/D3,0)</f>
        <v>0</v>
      </c>
      <c r="F22" s="6">
        <f>IFERROR((F3-E3)/E3,0)</f>
        <v>0</v>
      </c>
      <c r="G22" s="6">
        <f>IFERROR((G3-F3)/F3,0)</f>
        <v>0</v>
      </c>
    </row>
    <row r="23" spans="2:7">
      <c r="B23" s="1" t="s">
        <v>19</v>
      </c>
      <c r="C23" s="6">
        <f>C5/C3</f>
        <v>0</v>
      </c>
      <c r="D23" s="6">
        <f>D5/D3</f>
        <v>0</v>
      </c>
      <c r="E23" s="6">
        <f>E5/E3</f>
        <v>0</v>
      </c>
      <c r="F23" s="6">
        <f>F5/F3</f>
        <v>0</v>
      </c>
      <c r="G23" s="6">
        <f>G5/G3</f>
        <v>0</v>
      </c>
    </row>
    <row r="24" spans="2:7">
      <c r="B24" s="1" t="s">
        <v>20</v>
      </c>
      <c r="C24" s="6">
        <f>C10/C3</f>
        <v>0</v>
      </c>
      <c r="D24" s="6">
        <f>D10/D3</f>
        <v>0</v>
      </c>
      <c r="E24" s="6">
        <f>E10/E3</f>
        <v>0</v>
      </c>
      <c r="F24" s="6">
        <f>F10/F3</f>
        <v>0</v>
      </c>
      <c r="G24" s="6">
        <f>G10/G3</f>
        <v>0</v>
      </c>
    </row>
    <row r="25" spans="2:7">
      <c r="B25" s="1" t="s">
        <v>21</v>
      </c>
      <c r="C25" s="6">
        <f>C18/C3</f>
        <v>0</v>
      </c>
      <c r="D25" s="6">
        <f>D18/D3</f>
        <v>0</v>
      </c>
      <c r="E25" s="6">
        <f>E18/E3</f>
        <v>0</v>
      </c>
      <c r="F25" s="6">
        <f>F18/F3</f>
        <v>0</v>
      </c>
      <c r="G25" s="6">
        <f>G18/G3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F31"/>
  <sheetViews>
    <sheetView workbookViewId="0"/>
  </sheetViews>
  <sheetFormatPr defaultRowHeight="15"/>
  <cols>
    <col min="2" max="2" width="29.7109375" customWidth="1"/>
  </cols>
  <sheetData>
    <row r="2" spans="2:6">
      <c r="C2" s="5">
        <v>2022</v>
      </c>
      <c r="D2" s="5">
        <v>2023</v>
      </c>
      <c r="E2" s="5">
        <v>2024</v>
      </c>
      <c r="F2" s="5">
        <v>2025</v>
      </c>
    </row>
    <row r="3" spans="2:6">
      <c r="B3" s="1" t="s">
        <v>14</v>
      </c>
      <c r="C3" s="3">
        <v>-924</v>
      </c>
      <c r="D3" s="3">
        <v>-1152</v>
      </c>
      <c r="E3" s="3">
        <v>-935</v>
      </c>
      <c r="F3" s="3">
        <v>-1065</v>
      </c>
    </row>
    <row r="4" spans="2:6">
      <c r="B4" s="1" t="s">
        <v>27</v>
      </c>
      <c r="C4" s="3">
        <v>130</v>
      </c>
      <c r="D4" s="3">
        <v>208</v>
      </c>
      <c r="E4" s="3">
        <v>226</v>
      </c>
      <c r="F4" s="3">
        <v>226</v>
      </c>
    </row>
    <row r="5" spans="2:6">
      <c r="B5" s="1" t="s">
        <v>28</v>
      </c>
      <c r="C5" s="3">
        <v>513</v>
      </c>
      <c r="D5" s="3">
        <v>507</v>
      </c>
      <c r="E5" s="3">
        <v>481</v>
      </c>
      <c r="F5" s="3">
        <v>1454</v>
      </c>
    </row>
    <row r="6" spans="2:6">
      <c r="B6" s="1" t="s">
        <v>29</v>
      </c>
      <c r="C6" s="3">
        <v>650</v>
      </c>
      <c r="D6" s="3">
        <v>895</v>
      </c>
      <c r="E6" s="3">
        <v>1050</v>
      </c>
      <c r="F6" s="3">
        <v>1182</v>
      </c>
    </row>
    <row r="7" spans="2:6">
      <c r="B7" s="1" t="s">
        <v>30</v>
      </c>
      <c r="C7" s="3">
        <v>369</v>
      </c>
      <c r="D7" s="3">
        <v>458</v>
      </c>
      <c r="E7" s="3">
        <v>822</v>
      </c>
      <c r="F7" s="3">
        <v>1796</v>
      </c>
    </row>
    <row r="8" spans="2:6">
      <c r="B8" s="1" t="s">
        <v>31</v>
      </c>
      <c r="C8" s="3">
        <v>-13</v>
      </c>
      <c r="D8" s="3">
        <v>-4</v>
      </c>
      <c r="E8" s="3">
        <v>-3</v>
      </c>
      <c r="F8" s="3">
        <v>0</v>
      </c>
    </row>
    <row r="9" spans="2:6">
      <c r="B9" s="1" t="s">
        <v>32</v>
      </c>
      <c r="C9" s="3">
        <v>0</v>
      </c>
      <c r="D9" s="3">
        <v>-4592</v>
      </c>
      <c r="E9" s="3">
        <v>-4643</v>
      </c>
      <c r="F9" s="3">
        <v>-5437</v>
      </c>
    </row>
    <row r="10" spans="2:6">
      <c r="B10" s="1" t="s">
        <v>33</v>
      </c>
      <c r="C10" s="3">
        <v>0</v>
      </c>
      <c r="D10" s="3">
        <v>2105</v>
      </c>
      <c r="E10" s="3">
        <v>3974</v>
      </c>
      <c r="F10" s="3">
        <v>4488</v>
      </c>
    </row>
    <row r="11" spans="2:6">
      <c r="B11" s="1" t="s">
        <v>34</v>
      </c>
      <c r="C11" s="3">
        <v>-428</v>
      </c>
      <c r="D11" s="3">
        <v>-334</v>
      </c>
      <c r="E11" s="3">
        <v>-181</v>
      </c>
      <c r="F11" s="3">
        <v>-443</v>
      </c>
    </row>
    <row r="12" spans="2:6">
      <c r="B12" s="1" t="s">
        <v>35</v>
      </c>
      <c r="C12" s="3">
        <v>-441</v>
      </c>
      <c r="D12" s="3">
        <v>-2825</v>
      </c>
      <c r="E12" s="3">
        <v>-852</v>
      </c>
      <c r="F12" s="3">
        <v>-1393</v>
      </c>
    </row>
    <row r="13" spans="2:6">
      <c r="B13" s="1" t="s">
        <v>36</v>
      </c>
      <c r="C13" s="3">
        <v>0</v>
      </c>
      <c r="D13" s="3">
        <v>0</v>
      </c>
      <c r="E13" s="3">
        <v>0</v>
      </c>
      <c r="F13" s="3">
        <v>0</v>
      </c>
    </row>
    <row r="14" spans="2:6">
      <c r="B14" s="1" t="s">
        <v>37</v>
      </c>
      <c r="C14" s="3">
        <v>0</v>
      </c>
      <c r="D14" s="3">
        <v>0</v>
      </c>
      <c r="E14" s="3">
        <v>0</v>
      </c>
      <c r="F14" s="3">
        <v>0</v>
      </c>
    </row>
    <row r="15" spans="2:6">
      <c r="B15" s="1" t="s">
        <v>38</v>
      </c>
      <c r="C15" s="3">
        <v>0</v>
      </c>
      <c r="D15" s="3">
        <v>0</v>
      </c>
      <c r="E15" s="3">
        <v>0</v>
      </c>
      <c r="F15" s="3">
        <v>0</v>
      </c>
    </row>
    <row r="16" spans="2:6">
      <c r="B16" s="1" t="s">
        <v>39</v>
      </c>
      <c r="C16" s="3">
        <v>46</v>
      </c>
      <c r="D16" s="3">
        <v>53</v>
      </c>
      <c r="E16" s="3">
        <v>70</v>
      </c>
      <c r="F16" s="3">
        <v>89</v>
      </c>
    </row>
    <row r="17" spans="2:6">
      <c r="B17" s="1" t="s">
        <v>40</v>
      </c>
      <c r="C17" s="3">
        <v>-2</v>
      </c>
      <c r="D17" s="3">
        <v>14</v>
      </c>
      <c r="E17" s="3">
        <v>-4</v>
      </c>
      <c r="F17" s="3">
        <v>0</v>
      </c>
    </row>
    <row r="18" spans="2:6">
      <c r="B18" s="1" t="s">
        <v>41</v>
      </c>
      <c r="C18" s="3">
        <v>44</v>
      </c>
      <c r="D18" s="3">
        <v>67</v>
      </c>
      <c r="E18" s="3">
        <v>66</v>
      </c>
      <c r="F18" s="3">
        <v>89</v>
      </c>
    </row>
    <row r="19" spans="2:6">
      <c r="B19" s="1" t="s">
        <v>42</v>
      </c>
      <c r="C19" s="3">
        <v>-28</v>
      </c>
      <c r="D19" s="3">
        <v>-2300</v>
      </c>
      <c r="E19" s="3">
        <v>36</v>
      </c>
      <c r="F19" s="3">
        <v>492</v>
      </c>
    </row>
    <row r="20" spans="2:6">
      <c r="B20" s="1" t="s">
        <v>43</v>
      </c>
      <c r="C20" s="3">
        <v>1</v>
      </c>
      <c r="D20" s="3">
        <v>1</v>
      </c>
      <c r="E20" s="3">
        <v>-3</v>
      </c>
      <c r="F20" s="3">
        <v>1</v>
      </c>
    </row>
    <row r="21" spans="2:6">
      <c r="B21" s="1" t="s">
        <v>44</v>
      </c>
      <c r="C21" s="3">
        <v>3004</v>
      </c>
      <c r="D21" s="3">
        <v>2977</v>
      </c>
      <c r="E21" s="3">
        <v>678</v>
      </c>
      <c r="F21" s="3">
        <v>712</v>
      </c>
    </row>
    <row r="22" spans="2:6">
      <c r="B22" s="1" t="s">
        <v>45</v>
      </c>
      <c r="C22" s="3">
        <v>2977</v>
      </c>
      <c r="D22" s="3">
        <v>678</v>
      </c>
      <c r="E22" s="3">
        <v>712</v>
      </c>
      <c r="F22" s="3">
        <v>1205</v>
      </c>
    </row>
    <row r="23" spans="2:6">
      <c r="B23" s="1" t="s">
        <v>46</v>
      </c>
      <c r="C23" s="3">
        <v>369</v>
      </c>
      <c r="D23" s="3">
        <v>458</v>
      </c>
      <c r="E23" s="3">
        <v>822</v>
      </c>
      <c r="F23" s="3">
        <v>1796</v>
      </c>
    </row>
    <row r="24" spans="2:6">
      <c r="B24" s="1" t="s">
        <v>47</v>
      </c>
      <c r="C24" s="3">
        <v>-428</v>
      </c>
      <c r="D24" s="3">
        <v>-334</v>
      </c>
      <c r="E24" s="3">
        <v>-181</v>
      </c>
      <c r="F24" s="3">
        <v>-443</v>
      </c>
    </row>
    <row r="25" spans="2:6">
      <c r="B25" s="1" t="s">
        <v>48</v>
      </c>
      <c r="C25" s="3">
        <f>C23</f>
        <v>0</v>
      </c>
      <c r="D25" s="3">
        <f>D23</f>
        <v>0</v>
      </c>
      <c r="E25" s="3">
        <f>E23</f>
        <v>0</v>
      </c>
      <c r="F25" s="3">
        <f>F23</f>
        <v>0</v>
      </c>
    </row>
    <row r="26" spans="2:6">
      <c r="B26" s="1"/>
      <c r="C26" s="3"/>
      <c r="D26" s="3"/>
      <c r="E26" s="3"/>
      <c r="F26" s="3"/>
    </row>
    <row r="27" spans="2:6">
      <c r="B27" s="1"/>
      <c r="C27" s="3"/>
      <c r="D27" s="3"/>
      <c r="E27" s="3"/>
      <c r="F27" s="3"/>
    </row>
    <row r="28" spans="2:6">
      <c r="B28" s="1" t="s">
        <v>49</v>
      </c>
      <c r="C28" s="6">
        <v>0</v>
      </c>
      <c r="D28" s="6">
        <v>0.2407</v>
      </c>
      <c r="E28" s="6">
        <v>0.7947</v>
      </c>
      <c r="F28" s="6">
        <v>1.1845</v>
      </c>
    </row>
    <row r="29" spans="2:6">
      <c r="B29" s="1" t="s">
        <v>50</v>
      </c>
      <c r="C29" s="6">
        <v>0</v>
      </c>
      <c r="D29" s="6">
        <v>-0.2186</v>
      </c>
      <c r="E29" s="6">
        <v>-0.4583</v>
      </c>
      <c r="F29" s="6">
        <v>1.4499</v>
      </c>
    </row>
    <row r="30" spans="2:6">
      <c r="B30" s="1" t="s">
        <v>51</v>
      </c>
      <c r="C30" s="6">
        <v>0</v>
      </c>
      <c r="D30" s="6">
        <v>0</v>
      </c>
      <c r="E30" s="6">
        <v>4.1712</v>
      </c>
      <c r="F30" s="6">
        <v>1.1096</v>
      </c>
    </row>
    <row r="31" spans="2:6">
      <c r="B31" s="1" t="s">
        <v>52</v>
      </c>
      <c r="C31" s="6">
        <v>-0.158</v>
      </c>
      <c r="D31" s="6">
        <v>0.2707</v>
      </c>
      <c r="E31" s="6">
        <v>0.7798999999999999</v>
      </c>
      <c r="F31" s="6">
        <v>0.7531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G31"/>
  <sheetViews>
    <sheetView workbookViewId="0"/>
  </sheetViews>
  <sheetFormatPr defaultRowHeight="15"/>
  <cols>
    <col min="2" max="2" width="29.7109375" customWidth="1"/>
  </cols>
  <sheetData>
    <row r="2" spans="2:7"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</row>
    <row r="3" spans="2:7">
      <c r="B3" s="1" t="s">
        <v>14</v>
      </c>
      <c r="C3" s="3">
        <v>-219573</v>
      </c>
      <c r="D3" s="3">
        <v>-215056</v>
      </c>
      <c r="E3" s="3">
        <v>-278375</v>
      </c>
      <c r="F3" s="3">
        <v>-255626</v>
      </c>
      <c r="G3" s="3">
        <v>-316000</v>
      </c>
    </row>
    <row r="4" spans="2:7">
      <c r="B4" s="1" t="s">
        <v>27</v>
      </c>
      <c r="C4" s="3">
        <v>51311</v>
      </c>
      <c r="D4" s="3">
        <v>53734</v>
      </c>
      <c r="E4" s="3">
        <v>53784</v>
      </c>
      <c r="F4" s="3">
        <v>55313</v>
      </c>
      <c r="G4" s="3">
        <v>62989</v>
      </c>
    </row>
    <row r="5" spans="2:7">
      <c r="B5" s="1" t="s">
        <v>28</v>
      </c>
      <c r="C5" s="3">
        <v>87792</v>
      </c>
      <c r="D5" s="3">
        <v>336516</v>
      </c>
      <c r="E5" s="3">
        <v>119912</v>
      </c>
      <c r="F5" s="3">
        <v>450928</v>
      </c>
      <c r="G5" s="3">
        <v>546607</v>
      </c>
    </row>
    <row r="6" spans="2:7">
      <c r="B6" s="1" t="s">
        <v>29</v>
      </c>
      <c r="C6" s="3">
        <v>264961</v>
      </c>
      <c r="D6" s="3">
        <v>268720</v>
      </c>
      <c r="E6" s="3">
        <v>303941</v>
      </c>
      <c r="F6" s="3">
        <v>295569</v>
      </c>
      <c r="G6" s="3">
        <v>313402</v>
      </c>
    </row>
    <row r="7" spans="2:7">
      <c r="B7" s="1" t="s">
        <v>30</v>
      </c>
      <c r="C7" s="3">
        <v>184491</v>
      </c>
      <c r="D7" s="3">
        <v>443914</v>
      </c>
      <c r="E7" s="3">
        <v>199262</v>
      </c>
      <c r="F7" s="3">
        <v>546184</v>
      </c>
      <c r="G7" s="3">
        <v>606998</v>
      </c>
    </row>
    <row r="8" spans="2:7">
      <c r="B8" s="1" t="s">
        <v>31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2:7">
      <c r="B9" s="1" t="s">
        <v>32</v>
      </c>
      <c r="C9" s="3">
        <v>-1168353</v>
      </c>
      <c r="D9" s="3">
        <v>-1169947</v>
      </c>
      <c r="E9" s="3">
        <v>-1440877</v>
      </c>
      <c r="F9" s="3">
        <v>-1460566</v>
      </c>
      <c r="G9" s="3">
        <v>-1365769</v>
      </c>
    </row>
    <row r="10" spans="2:7">
      <c r="B10" s="1" t="s">
        <v>33</v>
      </c>
      <c r="C10" s="3">
        <v>1147701</v>
      </c>
      <c r="D10" s="3">
        <v>1152021</v>
      </c>
      <c r="E10" s="3">
        <v>1069120</v>
      </c>
      <c r="F10" s="3">
        <v>1020681</v>
      </c>
      <c r="G10" s="3">
        <v>1246174</v>
      </c>
    </row>
    <row r="11" spans="2:7">
      <c r="B11" s="1" t="s">
        <v>34</v>
      </c>
      <c r="C11" s="3">
        <v>-63860</v>
      </c>
      <c r="D11" s="3">
        <v>-17365</v>
      </c>
      <c r="E11" s="3">
        <v>-22610</v>
      </c>
      <c r="F11" s="3">
        <v>-103582</v>
      </c>
      <c r="G11" s="3">
        <v>-299921</v>
      </c>
    </row>
    <row r="12" spans="2:7">
      <c r="B12" s="1" t="s">
        <v>35</v>
      </c>
      <c r="C12" s="3">
        <v>-84512</v>
      </c>
      <c r="D12" s="3">
        <v>-35291</v>
      </c>
      <c r="E12" s="3">
        <v>-394367</v>
      </c>
      <c r="F12" s="3">
        <v>-543467</v>
      </c>
      <c r="G12" s="3">
        <v>-419516</v>
      </c>
    </row>
    <row r="13" spans="2:7">
      <c r="B13" s="1" t="s">
        <v>36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2:7">
      <c r="B14" s="1" t="s">
        <v>37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2:7">
      <c r="B15" s="1" t="s">
        <v>38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2:7">
      <c r="B16" s="1" t="s">
        <v>39</v>
      </c>
      <c r="C16" s="3">
        <v>13148</v>
      </c>
      <c r="D16" s="3">
        <v>36531</v>
      </c>
      <c r="E16" s="3">
        <v>27161</v>
      </c>
      <c r="F16" s="3">
        <v>20813</v>
      </c>
      <c r="G16" s="3">
        <v>4021</v>
      </c>
    </row>
    <row r="17" spans="2:7">
      <c r="B17" s="1" t="s">
        <v>40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2:7">
      <c r="B18" s="1" t="s">
        <v>41</v>
      </c>
      <c r="C18" s="3">
        <v>13148</v>
      </c>
      <c r="D18" s="3">
        <v>36531</v>
      </c>
      <c r="E18" s="3">
        <v>27161</v>
      </c>
      <c r="F18" s="3">
        <v>20813</v>
      </c>
      <c r="G18" s="3">
        <v>4021</v>
      </c>
    </row>
    <row r="19" spans="2:7">
      <c r="B19" s="1" t="s">
        <v>42</v>
      </c>
      <c r="C19" s="3">
        <v>113127</v>
      </c>
      <c r="D19" s="3">
        <v>445154</v>
      </c>
      <c r="E19" s="3">
        <v>-167944</v>
      </c>
      <c r="F19" s="3">
        <v>23530</v>
      </c>
      <c r="G19" s="3">
        <v>191503</v>
      </c>
    </row>
    <row r="20" spans="2:7">
      <c r="B20" s="1" t="s">
        <v>43</v>
      </c>
      <c r="C20" s="3">
        <v>-4075</v>
      </c>
      <c r="D20" s="3">
        <v>1843</v>
      </c>
      <c r="E20" s="3">
        <v>3834</v>
      </c>
      <c r="F20" s="3">
        <v>-1275</v>
      </c>
      <c r="G20" s="3">
        <v>-3009</v>
      </c>
    </row>
    <row r="21" spans="2:7">
      <c r="B21" s="1" t="s">
        <v>44</v>
      </c>
      <c r="C21" s="3">
        <v>602631</v>
      </c>
      <c r="D21" s="3">
        <v>711683</v>
      </c>
      <c r="E21" s="3">
        <v>1158680</v>
      </c>
      <c r="F21" s="3">
        <v>994570</v>
      </c>
      <c r="G21" s="3">
        <v>1016825</v>
      </c>
    </row>
    <row r="22" spans="2:7">
      <c r="B22" s="1" t="s">
        <v>45</v>
      </c>
      <c r="C22" s="3">
        <v>711683</v>
      </c>
      <c r="D22" s="3">
        <v>1158680</v>
      </c>
      <c r="E22" s="3">
        <v>994570</v>
      </c>
      <c r="F22" s="3">
        <v>1016825</v>
      </c>
      <c r="G22" s="3">
        <v>1205319</v>
      </c>
    </row>
    <row r="23" spans="2:7">
      <c r="B23" s="1" t="s">
        <v>46</v>
      </c>
      <c r="C23" s="3">
        <v>184491</v>
      </c>
      <c r="D23" s="3">
        <v>443914</v>
      </c>
      <c r="E23" s="3">
        <v>199262</v>
      </c>
      <c r="F23" s="3">
        <v>546184</v>
      </c>
      <c r="G23" s="3">
        <v>606998</v>
      </c>
    </row>
    <row r="24" spans="2:7">
      <c r="B24" s="1" t="s">
        <v>47</v>
      </c>
      <c r="C24" s="3">
        <v>-63860</v>
      </c>
      <c r="D24" s="3">
        <v>-17365</v>
      </c>
      <c r="E24" s="3">
        <v>-22610</v>
      </c>
      <c r="F24" s="3">
        <v>-103582</v>
      </c>
      <c r="G24" s="3">
        <v>-299921</v>
      </c>
    </row>
    <row r="25" spans="2:7">
      <c r="B25" s="1" t="s">
        <v>48</v>
      </c>
      <c r="C25" s="3">
        <f>C23</f>
        <v>0</v>
      </c>
      <c r="D25" s="3">
        <f>D23</f>
        <v>0</v>
      </c>
      <c r="E25" s="3">
        <f>E23</f>
        <v>0</v>
      </c>
      <c r="F25" s="3">
        <f>F23</f>
        <v>0</v>
      </c>
      <c r="G25" s="3">
        <f>G23</f>
        <v>0</v>
      </c>
    </row>
    <row r="26" spans="2:7">
      <c r="B26" s="1"/>
      <c r="C26" s="3"/>
      <c r="D26" s="3"/>
      <c r="E26" s="3"/>
      <c r="F26" s="3"/>
      <c r="G26" s="3"/>
    </row>
    <row r="27" spans="2:7">
      <c r="B27" s="1"/>
      <c r="C27" s="3"/>
      <c r="D27" s="3"/>
      <c r="E27" s="3"/>
      <c r="F27" s="3"/>
      <c r="G27" s="3"/>
    </row>
    <row r="28" spans="2:7">
      <c r="B28" s="1" t="s">
        <v>49</v>
      </c>
      <c r="C28" s="6">
        <v>0</v>
      </c>
      <c r="D28" s="6">
        <v>1.4062</v>
      </c>
      <c r="E28" s="6">
        <v>-0.5511</v>
      </c>
      <c r="F28" s="6">
        <v>1.741</v>
      </c>
      <c r="G28" s="6">
        <v>0.1113</v>
      </c>
    </row>
    <row r="29" spans="2:7">
      <c r="B29" s="1" t="s">
        <v>50</v>
      </c>
      <c r="C29" s="6">
        <v>0</v>
      </c>
      <c r="D29" s="6">
        <v>-0.7281</v>
      </c>
      <c r="E29" s="6">
        <v>0.302</v>
      </c>
      <c r="F29" s="6">
        <v>3.5812</v>
      </c>
      <c r="G29" s="6">
        <v>1.8955</v>
      </c>
    </row>
    <row r="30" spans="2:7">
      <c r="B30" s="1" t="s">
        <v>51</v>
      </c>
      <c r="C30" s="6">
        <v>0</v>
      </c>
      <c r="D30" s="6">
        <v>2.536</v>
      </c>
      <c r="E30" s="6">
        <v>-0.5859000000000001</v>
      </c>
      <c r="F30" s="6">
        <v>1.5055</v>
      </c>
      <c r="G30" s="6">
        <v>-0.3062</v>
      </c>
    </row>
    <row r="31" spans="2:7">
      <c r="B31" s="1" t="s">
        <v>52</v>
      </c>
      <c r="C31" s="6">
        <v>0.6539</v>
      </c>
      <c r="D31" s="6">
        <v>0.9609000000000001</v>
      </c>
      <c r="E31" s="6">
        <v>0.8865000000000001</v>
      </c>
      <c r="F31" s="6">
        <v>0.8104</v>
      </c>
      <c r="G31" s="6">
        <v>0.5059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F40"/>
  <sheetViews>
    <sheetView workbookViewId="0"/>
  </sheetViews>
  <sheetFormatPr defaultRowHeight="15"/>
  <cols>
    <col min="2" max="2" width="28.7109375" customWidth="1"/>
  </cols>
  <sheetData>
    <row r="2" spans="2:6">
      <c r="C2" s="5">
        <v>2022</v>
      </c>
      <c r="D2" s="5">
        <v>2023</v>
      </c>
      <c r="E2" s="5">
        <v>2024</v>
      </c>
      <c r="F2" s="5">
        <v>2025</v>
      </c>
    </row>
    <row r="3" spans="2:6">
      <c r="B3" s="1" t="s">
        <v>53</v>
      </c>
      <c r="C3" s="3">
        <v>2977</v>
      </c>
      <c r="D3" s="3">
        <v>2193</v>
      </c>
      <c r="E3" s="3">
        <v>2410</v>
      </c>
      <c r="F3" s="3">
        <v>3055</v>
      </c>
    </row>
    <row r="4" spans="2:6">
      <c r="B4" s="1" t="s">
        <v>54</v>
      </c>
      <c r="C4" s="3">
        <v>379</v>
      </c>
      <c r="D4" s="3">
        <v>506</v>
      </c>
      <c r="E4" s="3">
        <v>615</v>
      </c>
      <c r="F4" s="3">
        <v>901</v>
      </c>
    </row>
    <row r="5" spans="2:6">
      <c r="B5" s="1" t="s">
        <v>55</v>
      </c>
      <c r="C5" s="3">
        <v>0</v>
      </c>
      <c r="D5" s="3">
        <v>0</v>
      </c>
      <c r="E5" s="3">
        <v>0</v>
      </c>
      <c r="F5" s="3">
        <v>0</v>
      </c>
    </row>
    <row r="6" spans="2:6">
      <c r="B6" s="1" t="s">
        <v>56</v>
      </c>
      <c r="C6" s="3">
        <v>482</v>
      </c>
      <c r="D6" s="3">
        <v>576</v>
      </c>
      <c r="E6" s="3">
        <v>704</v>
      </c>
      <c r="F6" s="3">
        <v>942</v>
      </c>
    </row>
    <row r="7" spans="2:6">
      <c r="B7" s="1" t="s">
        <v>57</v>
      </c>
      <c r="C7" s="3">
        <v>3839</v>
      </c>
      <c r="D7" s="3">
        <v>3275</v>
      </c>
      <c r="E7" s="3">
        <v>3728</v>
      </c>
      <c r="F7" s="3">
        <v>4898</v>
      </c>
    </row>
    <row r="8" spans="2:6">
      <c r="B8" s="1" t="s">
        <v>58</v>
      </c>
      <c r="C8" s="3">
        <v>1118</v>
      </c>
      <c r="D8" s="3">
        <v>1360</v>
      </c>
      <c r="E8" s="3">
        <v>1325</v>
      </c>
      <c r="F8" s="3">
        <v>1536</v>
      </c>
    </row>
    <row r="9" spans="2:6">
      <c r="B9" s="1" t="s">
        <v>59</v>
      </c>
      <c r="C9" s="3">
        <v>134</v>
      </c>
      <c r="D9" s="3">
        <v>142</v>
      </c>
      <c r="E9" s="3">
        <v>142</v>
      </c>
      <c r="F9" s="3">
        <v>143</v>
      </c>
    </row>
    <row r="10" spans="2:6">
      <c r="B10" s="1" t="s">
        <v>60</v>
      </c>
      <c r="C10" s="3">
        <v>284</v>
      </c>
      <c r="D10" s="3">
        <v>1390</v>
      </c>
      <c r="E10" s="3">
        <v>1980</v>
      </c>
      <c r="F10" s="3">
        <v>2981</v>
      </c>
    </row>
    <row r="11" spans="2:6">
      <c r="B11" s="1" t="s">
        <v>61</v>
      </c>
      <c r="C11" s="3">
        <v>1537</v>
      </c>
      <c r="D11" s="3">
        <v>2893</v>
      </c>
      <c r="E11" s="3">
        <v>3447</v>
      </c>
      <c r="F11" s="3">
        <v>4659</v>
      </c>
    </row>
    <row r="12" spans="2:6">
      <c r="B12" s="1" t="s">
        <v>62</v>
      </c>
      <c r="C12" s="3">
        <f>C7+C11</f>
        <v>0</v>
      </c>
      <c r="D12" s="3">
        <f>D7+D11</f>
        <v>0</v>
      </c>
      <c r="E12" s="3">
        <f>E7+E11</f>
        <v>0</v>
      </c>
      <c r="F12" s="3">
        <f>F7+F11</f>
        <v>0</v>
      </c>
    </row>
    <row r="13" spans="2:6">
      <c r="B13" s="1" t="s">
        <v>63</v>
      </c>
      <c r="C13" s="3">
        <v>71</v>
      </c>
      <c r="D13" s="3">
        <v>60</v>
      </c>
      <c r="E13" s="3">
        <v>43</v>
      </c>
      <c r="F13" s="3">
        <v>65</v>
      </c>
    </row>
    <row r="14" spans="2:6">
      <c r="B14" s="1" t="s">
        <v>64</v>
      </c>
      <c r="C14" s="3">
        <v>73</v>
      </c>
      <c r="D14" s="3">
        <v>111</v>
      </c>
      <c r="E14" s="3">
        <v>129</v>
      </c>
      <c r="F14" s="3">
        <v>166</v>
      </c>
    </row>
    <row r="15" spans="2:6">
      <c r="B15" s="1" t="s">
        <v>65</v>
      </c>
      <c r="C15" s="3">
        <v>2336</v>
      </c>
      <c r="D15" s="3">
        <v>2881</v>
      </c>
      <c r="E15" s="3">
        <v>3491</v>
      </c>
      <c r="F15" s="3">
        <v>4895</v>
      </c>
    </row>
    <row r="16" spans="2:6">
      <c r="B16" s="1" t="s">
        <v>66</v>
      </c>
      <c r="C16" s="3">
        <v>2481</v>
      </c>
      <c r="D16" s="3">
        <v>3052</v>
      </c>
      <c r="E16" s="3">
        <v>3663</v>
      </c>
      <c r="F16" s="3">
        <v>5126</v>
      </c>
    </row>
    <row r="17" spans="2:6">
      <c r="B17" s="1" t="s">
        <v>67</v>
      </c>
      <c r="C17" s="3">
        <v>1484</v>
      </c>
      <c r="D17" s="3">
        <v>1652</v>
      </c>
      <c r="E17" s="3">
        <v>1676</v>
      </c>
      <c r="F17" s="3">
        <v>1636</v>
      </c>
    </row>
    <row r="18" spans="2:6">
      <c r="B18" s="1" t="s">
        <v>68</v>
      </c>
      <c r="C18" s="3">
        <v>1106</v>
      </c>
      <c r="D18" s="3">
        <v>1396</v>
      </c>
      <c r="E18" s="3">
        <v>1627</v>
      </c>
      <c r="F18" s="3">
        <v>2419</v>
      </c>
    </row>
    <row r="19" spans="2:6">
      <c r="B19" s="1" t="s">
        <v>69</v>
      </c>
      <c r="C19" s="3">
        <v>2590</v>
      </c>
      <c r="D19" s="3">
        <v>3047</v>
      </c>
      <c r="E19" s="3">
        <v>3303</v>
      </c>
      <c r="F19" s="3">
        <v>4056</v>
      </c>
    </row>
    <row r="20" spans="2:6">
      <c r="B20" s="1" t="s">
        <v>70</v>
      </c>
      <c r="C20" s="3">
        <f>C16+C19</f>
        <v>0</v>
      </c>
      <c r="D20" s="3">
        <f>D16+D19</f>
        <v>0</v>
      </c>
      <c r="E20" s="3">
        <f>E16+E19</f>
        <v>0</v>
      </c>
      <c r="F20" s="3">
        <f>F16+F19</f>
        <v>0</v>
      </c>
    </row>
    <row r="21" spans="2:6">
      <c r="B21" s="1" t="s">
        <v>71</v>
      </c>
      <c r="C21" s="3">
        <v>2214</v>
      </c>
      <c r="D21" s="3">
        <v>3135</v>
      </c>
      <c r="E21" s="3">
        <v>4221</v>
      </c>
      <c r="F21" s="3">
        <v>5439</v>
      </c>
    </row>
    <row r="22" spans="2:6">
      <c r="B22" s="1" t="s">
        <v>72</v>
      </c>
      <c r="C22" s="3">
        <v>-1908</v>
      </c>
      <c r="D22" s="3">
        <v>-3060</v>
      </c>
      <c r="E22" s="3">
        <v>-3996</v>
      </c>
      <c r="F22" s="3">
        <v>-5061</v>
      </c>
    </row>
    <row r="23" spans="2:6">
      <c r="B23" s="1" t="s">
        <v>73</v>
      </c>
      <c r="C23" s="3">
        <v>1</v>
      </c>
      <c r="D23" s="3">
        <v>2</v>
      </c>
      <c r="E23" s="3">
        <v>-4</v>
      </c>
      <c r="F23" s="3">
        <v>17</v>
      </c>
    </row>
    <row r="24" spans="2:6">
      <c r="B24" s="1" t="s">
        <v>74</v>
      </c>
      <c r="C24" s="3">
        <v>306</v>
      </c>
      <c r="D24" s="3">
        <v>76</v>
      </c>
      <c r="E24" s="3">
        <v>221</v>
      </c>
      <c r="F24" s="3">
        <v>394</v>
      </c>
    </row>
    <row r="25" spans="2:6">
      <c r="B25" s="1" t="s">
        <v>75</v>
      </c>
      <c r="C25" s="3">
        <v>-1</v>
      </c>
      <c r="D25" s="3">
        <v>-8</v>
      </c>
      <c r="E25" s="3">
        <v>-13</v>
      </c>
      <c r="F25" s="3">
        <v>-20</v>
      </c>
    </row>
    <row r="26" spans="2:6">
      <c r="B26" s="1" t="s">
        <v>76</v>
      </c>
      <c r="C26" s="3">
        <f>C12+C20</f>
        <v>0</v>
      </c>
      <c r="D26" s="3">
        <f>D12+D20</f>
        <v>0</v>
      </c>
      <c r="E26" s="3">
        <f>E12+E20</f>
        <v>0</v>
      </c>
      <c r="F26" s="3">
        <f>F12+F20</f>
        <v>0</v>
      </c>
    </row>
    <row r="27" spans="2:6">
      <c r="B27" s="1" t="s">
        <v>77</v>
      </c>
      <c r="C27" s="3">
        <v>306</v>
      </c>
      <c r="D27" s="3">
        <v>76</v>
      </c>
      <c r="E27" s="3">
        <v>221</v>
      </c>
      <c r="F27" s="3">
        <v>394</v>
      </c>
    </row>
    <row r="28" spans="2:6">
      <c r="B28" s="1" t="s">
        <v>78</v>
      </c>
      <c r="C28" s="3">
        <v>1557</v>
      </c>
      <c r="D28" s="3">
        <v>1763</v>
      </c>
      <c r="E28" s="3">
        <v>1805</v>
      </c>
      <c r="F28" s="3">
        <v>1803</v>
      </c>
    </row>
    <row r="29" spans="2:6">
      <c r="B29" s="1" t="s">
        <v>79</v>
      </c>
      <c r="C29" s="3">
        <v>-1421</v>
      </c>
      <c r="D29" s="3">
        <v>-430</v>
      </c>
      <c r="E29" s="3">
        <v>-604</v>
      </c>
      <c r="F29" s="3">
        <v>-1252</v>
      </c>
    </row>
    <row r="30" spans="2:6">
      <c r="B30" s="1" t="s">
        <v>80</v>
      </c>
      <c r="C30" s="3">
        <v>1118</v>
      </c>
      <c r="D30" s="3">
        <v>1360</v>
      </c>
      <c r="E30" s="3">
        <v>1325</v>
      </c>
      <c r="F30" s="3">
        <v>1536</v>
      </c>
    </row>
    <row r="31" spans="2:6">
      <c r="B31" s="1" t="s">
        <v>81</v>
      </c>
      <c r="C31" s="3">
        <v>305</v>
      </c>
      <c r="D31" s="3">
        <v>395</v>
      </c>
      <c r="E31" s="3">
        <v>503</v>
      </c>
      <c r="F31" s="3">
        <v>375</v>
      </c>
    </row>
    <row r="32" spans="2:6">
      <c r="B32" s="1" t="s">
        <v>82</v>
      </c>
      <c r="C32" s="3">
        <v>-1232</v>
      </c>
      <c r="D32" s="3">
        <v>-2824</v>
      </c>
      <c r="E32" s="3">
        <v>-3238</v>
      </c>
      <c r="F32" s="3">
        <v>-4284</v>
      </c>
    </row>
    <row r="33" spans="2:6">
      <c r="B33" s="1" t="s">
        <v>83</v>
      </c>
      <c r="C33" s="3">
        <v>605</v>
      </c>
      <c r="D33" s="3">
        <v>631</v>
      </c>
      <c r="E33" s="3">
        <v>666</v>
      </c>
      <c r="F33" s="3">
        <v>708</v>
      </c>
    </row>
    <row r="34" spans="2:6">
      <c r="B34" s="1"/>
      <c r="C34" s="3"/>
      <c r="D34" s="3"/>
      <c r="E34" s="3"/>
      <c r="F34" s="3"/>
    </row>
    <row r="35" spans="2:6">
      <c r="B35" s="1"/>
      <c r="C35" s="3"/>
      <c r="D35" s="3"/>
      <c r="E35" s="3"/>
      <c r="F35" s="3"/>
    </row>
    <row r="36" spans="2:6">
      <c r="B36" s="1" t="s">
        <v>84</v>
      </c>
      <c r="C36" s="6">
        <v>5.1037</v>
      </c>
      <c r="D36" s="6">
        <v>25.687</v>
      </c>
      <c r="E36" s="6">
        <v>8.652000000000001</v>
      </c>
      <c r="F36" s="6">
        <v>4.8075</v>
      </c>
    </row>
    <row r="37" spans="2:6">
      <c r="B37" s="1" t="s">
        <v>85</v>
      </c>
      <c r="C37" s="6">
        <v>0</v>
      </c>
      <c r="D37" s="6">
        <v>0.1474</v>
      </c>
      <c r="E37" s="6">
        <v>0.1632</v>
      </c>
      <c r="F37" s="6">
        <v>0.332</v>
      </c>
    </row>
    <row r="38" spans="2:6">
      <c r="B38" s="1" t="s">
        <v>86</v>
      </c>
      <c r="C38" s="6">
        <v>0</v>
      </c>
      <c r="D38" s="6">
        <v>0.2165</v>
      </c>
      <c r="E38" s="6">
        <v>-0.0257</v>
      </c>
      <c r="F38" s="6">
        <v>0.1587</v>
      </c>
    </row>
    <row r="39" spans="2:6">
      <c r="B39" s="1" t="s">
        <v>87</v>
      </c>
      <c r="C39" s="6">
        <v>0</v>
      </c>
      <c r="D39" s="6">
        <v>-0.7506999999999999</v>
      </c>
      <c r="E39" s="6">
        <v>1.9027</v>
      </c>
      <c r="F39" s="6">
        <v>0.7814</v>
      </c>
    </row>
    <row r="40" spans="2:6">
      <c r="B40" s="1" t="s">
        <v>88</v>
      </c>
      <c r="C40" s="6">
        <v>0</v>
      </c>
      <c r="D40" s="6">
        <v>0.2955</v>
      </c>
      <c r="E40" s="6">
        <v>0.2738</v>
      </c>
      <c r="F40" s="6">
        <v>-0.255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G40"/>
  <sheetViews>
    <sheetView workbookViewId="0"/>
  </sheetViews>
  <sheetFormatPr defaultRowHeight="15"/>
  <cols>
    <col min="2" max="2" width="28.7109375" customWidth="1"/>
  </cols>
  <sheetData>
    <row r="2" spans="2:7"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</row>
    <row r="3" spans="2:7">
      <c r="B3" s="1" t="s">
        <v>53</v>
      </c>
      <c r="C3" s="3">
        <v>2409545</v>
      </c>
      <c r="D3" s="3">
        <v>2744529</v>
      </c>
      <c r="E3" s="3">
        <v>2627196</v>
      </c>
      <c r="F3" s="3">
        <v>2860500</v>
      </c>
      <c r="G3" s="3">
        <v>3055142</v>
      </c>
    </row>
    <row r="4" spans="2:7">
      <c r="B4" s="1" t="s">
        <v>54</v>
      </c>
      <c r="C4" s="3">
        <v>614838</v>
      </c>
      <c r="D4" s="3">
        <v>403506</v>
      </c>
      <c r="E4" s="3">
        <v>524488</v>
      </c>
      <c r="F4" s="3">
        <v>634267</v>
      </c>
      <c r="G4" s="3">
        <v>900646</v>
      </c>
    </row>
    <row r="5" spans="2:7">
      <c r="B5" s="1" t="s">
        <v>55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2:7">
      <c r="B6" s="1" t="s">
        <v>56</v>
      </c>
      <c r="C6" s="3">
        <v>703647</v>
      </c>
      <c r="D6" s="3">
        <v>743606</v>
      </c>
      <c r="E6" s="3">
        <v>794939</v>
      </c>
      <c r="F6" s="3">
        <v>858209</v>
      </c>
      <c r="G6" s="3">
        <v>942235</v>
      </c>
    </row>
    <row r="7" spans="2:7">
      <c r="B7" s="1" t="s">
        <v>57</v>
      </c>
      <c r="C7" s="3">
        <v>3728030</v>
      </c>
      <c r="D7" s="3">
        <v>3891641</v>
      </c>
      <c r="E7" s="3">
        <v>3946623</v>
      </c>
      <c r="F7" s="3">
        <v>4352976</v>
      </c>
      <c r="G7" s="3">
        <v>4898023</v>
      </c>
    </row>
    <row r="8" spans="2:7">
      <c r="B8" s="1" t="s">
        <v>58</v>
      </c>
      <c r="C8" s="3">
        <v>1325474</v>
      </c>
      <c r="D8" s="3">
        <v>1277598</v>
      </c>
      <c r="E8" s="3">
        <v>1248331</v>
      </c>
      <c r="F8" s="3">
        <v>1294481</v>
      </c>
      <c r="G8" s="3">
        <v>1535831</v>
      </c>
    </row>
    <row r="9" spans="2:7">
      <c r="B9" s="1" t="s">
        <v>59</v>
      </c>
      <c r="C9" s="3">
        <v>141688</v>
      </c>
      <c r="D9" s="3">
        <v>141972</v>
      </c>
      <c r="E9" s="3">
        <v>142610</v>
      </c>
      <c r="F9" s="3">
        <v>142630</v>
      </c>
      <c r="G9" s="3">
        <v>142624</v>
      </c>
    </row>
    <row r="10" spans="2:7">
      <c r="B10" s="1" t="s">
        <v>60</v>
      </c>
      <c r="C10" s="3">
        <v>1979811</v>
      </c>
      <c r="D10" s="3">
        <v>2141038</v>
      </c>
      <c r="E10" s="3">
        <v>2508008</v>
      </c>
      <c r="F10" s="3">
        <v>2800722</v>
      </c>
      <c r="G10" s="3">
        <v>2980640</v>
      </c>
    </row>
    <row r="11" spans="2:7">
      <c r="B11" s="1" t="s">
        <v>61</v>
      </c>
      <c r="C11" s="3">
        <v>3446973</v>
      </c>
      <c r="D11" s="3">
        <v>3560608</v>
      </c>
      <c r="E11" s="3">
        <v>3898949</v>
      </c>
      <c r="F11" s="3">
        <v>4237833</v>
      </c>
      <c r="G11" s="3">
        <v>4659095</v>
      </c>
    </row>
    <row r="12" spans="2:7">
      <c r="B12" s="1" t="s">
        <v>62</v>
      </c>
      <c r="C12" s="3">
        <f>C7+C11</f>
        <v>0</v>
      </c>
      <c r="D12" s="3">
        <f>D7+D11</f>
        <v>0</v>
      </c>
      <c r="E12" s="3">
        <f>E7+E11</f>
        <v>0</v>
      </c>
      <c r="F12" s="3">
        <f>F7+F11</f>
        <v>0</v>
      </c>
      <c r="G12" s="3">
        <f>G7+G11</f>
        <v>0</v>
      </c>
    </row>
    <row r="13" spans="2:7">
      <c r="B13" s="1" t="s">
        <v>63</v>
      </c>
      <c r="C13" s="3">
        <v>42885</v>
      </c>
      <c r="D13" s="3">
        <v>52543</v>
      </c>
      <c r="E13" s="3">
        <v>61796</v>
      </c>
      <c r="F13" s="3">
        <v>88637</v>
      </c>
      <c r="G13" s="3">
        <v>64948</v>
      </c>
    </row>
    <row r="14" spans="2:7">
      <c r="B14" s="1" t="s">
        <v>64</v>
      </c>
      <c r="C14" s="3">
        <v>128857</v>
      </c>
      <c r="D14" s="3">
        <v>131503</v>
      </c>
      <c r="E14" s="3">
        <v>151609</v>
      </c>
      <c r="F14" s="3">
        <v>153738</v>
      </c>
      <c r="G14" s="3">
        <v>166250</v>
      </c>
    </row>
    <row r="15" spans="2:7">
      <c r="B15" s="1" t="s">
        <v>65</v>
      </c>
      <c r="C15" s="3">
        <v>3491466</v>
      </c>
      <c r="D15" s="3">
        <v>3635607</v>
      </c>
      <c r="E15" s="3">
        <v>3845175</v>
      </c>
      <c r="F15" s="3">
        <v>4288111</v>
      </c>
      <c r="G15" s="3">
        <v>4895192</v>
      </c>
    </row>
    <row r="16" spans="2:7">
      <c r="B16" s="1" t="s">
        <v>66</v>
      </c>
      <c r="C16" s="3">
        <v>3663208</v>
      </c>
      <c r="D16" s="3">
        <v>3819653</v>
      </c>
      <c r="E16" s="3">
        <v>4058580</v>
      </c>
      <c r="F16" s="3">
        <v>4530486</v>
      </c>
      <c r="G16" s="3">
        <v>5126390</v>
      </c>
    </row>
    <row r="17" spans="2:7">
      <c r="B17" s="1" t="s">
        <v>67</v>
      </c>
      <c r="C17" s="3">
        <v>1676422</v>
      </c>
      <c r="D17" s="3">
        <v>1673679</v>
      </c>
      <c r="E17" s="3">
        <v>1633509</v>
      </c>
      <c r="F17" s="3">
        <v>1610634</v>
      </c>
      <c r="G17" s="3">
        <v>1636454</v>
      </c>
    </row>
    <row r="18" spans="2:7">
      <c r="B18" s="1" t="s">
        <v>68</v>
      </c>
      <c r="C18" s="3">
        <v>1626719</v>
      </c>
      <c r="D18" s="3">
        <v>1662322</v>
      </c>
      <c r="E18" s="3">
        <v>1815826</v>
      </c>
      <c r="F18" s="3">
        <v>2059452</v>
      </c>
      <c r="G18" s="3">
        <v>2419294</v>
      </c>
    </row>
    <row r="19" spans="2:7">
      <c r="B19" s="1" t="s">
        <v>69</v>
      </c>
      <c r="C19" s="3">
        <v>3303141</v>
      </c>
      <c r="D19" s="3">
        <v>3336001</v>
      </c>
      <c r="E19" s="3">
        <v>3449335</v>
      </c>
      <c r="F19" s="3">
        <v>3670086</v>
      </c>
      <c r="G19" s="3">
        <v>4055748</v>
      </c>
    </row>
    <row r="20" spans="2:7">
      <c r="B20" s="1" t="s">
        <v>70</v>
      </c>
      <c r="C20" s="3">
        <f>C16+C19</f>
        <v>0</v>
      </c>
      <c r="D20" s="3">
        <f>D16+D19</f>
        <v>0</v>
      </c>
      <c r="E20" s="3">
        <f>E16+E19</f>
        <v>0</v>
      </c>
      <c r="F20" s="3">
        <f>F16+F19</f>
        <v>0</v>
      </c>
      <c r="G20" s="3">
        <f>G16+G19</f>
        <v>0</v>
      </c>
    </row>
    <row r="21" spans="2:7">
      <c r="B21" s="1" t="s">
        <v>71</v>
      </c>
      <c r="C21" s="3">
        <v>4220916</v>
      </c>
      <c r="D21" s="3">
        <v>4516341</v>
      </c>
      <c r="E21" s="3">
        <v>4828393</v>
      </c>
      <c r="F21" s="3">
        <v>5136014</v>
      </c>
      <c r="G21" s="3">
        <v>5438559</v>
      </c>
    </row>
    <row r="22" spans="2:7">
      <c r="B22" s="1" t="s">
        <v>72</v>
      </c>
      <c r="C22" s="3">
        <v>-3995637</v>
      </c>
      <c r="D22" s="3">
        <v>-4210693</v>
      </c>
      <c r="E22" s="3">
        <v>-4489068</v>
      </c>
      <c r="F22" s="3">
        <v>-4744694</v>
      </c>
      <c r="G22" s="3">
        <v>-5060694</v>
      </c>
    </row>
    <row r="23" spans="2:7">
      <c r="B23" s="1" t="s">
        <v>73</v>
      </c>
      <c r="C23" s="3">
        <v>-3833</v>
      </c>
      <c r="D23" s="3">
        <v>5039</v>
      </c>
      <c r="E23" s="3">
        <v>13896</v>
      </c>
      <c r="F23" s="3">
        <v>16249</v>
      </c>
      <c r="G23" s="3">
        <v>16619</v>
      </c>
    </row>
    <row r="24" spans="2:7">
      <c r="B24" s="1" t="s">
        <v>74</v>
      </c>
      <c r="C24" s="3">
        <v>221446</v>
      </c>
      <c r="D24" s="3">
        <v>310687</v>
      </c>
      <c r="E24" s="3">
        <v>353221</v>
      </c>
      <c r="F24" s="3">
        <v>407569</v>
      </c>
      <c r="G24" s="3">
        <v>394484</v>
      </c>
    </row>
    <row r="25" spans="2:7">
      <c r="B25" s="1" t="s">
        <v>75</v>
      </c>
      <c r="C25" s="3">
        <v>-12792</v>
      </c>
      <c r="D25" s="3">
        <v>-14092</v>
      </c>
      <c r="E25" s="3">
        <v>-15565</v>
      </c>
      <c r="F25" s="3">
        <v>-17332</v>
      </c>
      <c r="G25" s="3">
        <v>-19504</v>
      </c>
    </row>
    <row r="26" spans="2:7">
      <c r="B26" s="1" t="s">
        <v>76</v>
      </c>
      <c r="C26" s="3">
        <f>C12+C20</f>
        <v>0</v>
      </c>
      <c r="D26" s="3">
        <f>D12+D20</f>
        <v>0</v>
      </c>
      <c r="E26" s="3">
        <f>E12+E20</f>
        <v>0</v>
      </c>
      <c r="F26" s="3">
        <f>F12+F20</f>
        <v>0</v>
      </c>
      <c r="G26" s="3">
        <f>G12+G20</f>
        <v>0</v>
      </c>
    </row>
    <row r="27" spans="2:7">
      <c r="B27" s="1" t="s">
        <v>77</v>
      </c>
      <c r="C27" s="3">
        <v>221446</v>
      </c>
      <c r="D27" s="3">
        <v>310687</v>
      </c>
      <c r="E27" s="3">
        <v>353221</v>
      </c>
      <c r="F27" s="3">
        <v>407569</v>
      </c>
      <c r="G27" s="3">
        <v>394484</v>
      </c>
    </row>
    <row r="28" spans="2:7">
      <c r="B28" s="1" t="s">
        <v>78</v>
      </c>
      <c r="C28" s="3">
        <v>1805279</v>
      </c>
      <c r="D28" s="3">
        <v>1805182</v>
      </c>
      <c r="E28" s="3">
        <v>1785118</v>
      </c>
      <c r="F28" s="3">
        <v>1764372</v>
      </c>
      <c r="G28" s="3">
        <v>1802704</v>
      </c>
    </row>
    <row r="29" spans="2:7">
      <c r="B29" s="1" t="s">
        <v>79</v>
      </c>
      <c r="C29" s="3">
        <v>-604266</v>
      </c>
      <c r="D29" s="3">
        <v>-939347</v>
      </c>
      <c r="E29" s="3">
        <v>-842078</v>
      </c>
      <c r="F29" s="3">
        <v>-1096128</v>
      </c>
      <c r="G29" s="3">
        <v>-1252438</v>
      </c>
    </row>
    <row r="30" spans="2:7">
      <c r="B30" s="1" t="s">
        <v>80</v>
      </c>
      <c r="C30" s="3">
        <v>1325474</v>
      </c>
      <c r="D30" s="3">
        <v>1277598</v>
      </c>
      <c r="E30" s="3">
        <v>1248331</v>
      </c>
      <c r="F30" s="3">
        <v>1294481</v>
      </c>
      <c r="G30" s="3">
        <v>1535831</v>
      </c>
    </row>
    <row r="31" spans="2:7">
      <c r="B31" s="1" t="s">
        <v>81</v>
      </c>
      <c r="C31" s="3">
        <v>503342</v>
      </c>
      <c r="D31" s="3">
        <v>296595</v>
      </c>
      <c r="E31" s="3">
        <v>350163</v>
      </c>
      <c r="F31" s="3">
        <v>390237</v>
      </c>
      <c r="G31" s="3">
        <v>374980</v>
      </c>
    </row>
    <row r="32" spans="2:7">
      <c r="B32" s="1" t="s">
        <v>82</v>
      </c>
      <c r="C32" s="3">
        <v>-3238319</v>
      </c>
      <c r="D32" s="3">
        <v>-3264013</v>
      </c>
      <c r="E32" s="3">
        <v>-3561292</v>
      </c>
      <c r="F32" s="3">
        <v>-3847596</v>
      </c>
      <c r="G32" s="3">
        <v>-4284115</v>
      </c>
    </row>
    <row r="33" spans="2:7">
      <c r="B33" s="1" t="s">
        <v>83</v>
      </c>
      <c r="C33" s="3">
        <v>666419</v>
      </c>
      <c r="D33" s="3">
        <v>677750</v>
      </c>
      <c r="E33" s="3">
        <v>693161</v>
      </c>
      <c r="F33" s="3">
        <v>701867</v>
      </c>
      <c r="G33" s="3">
        <v>708359</v>
      </c>
    </row>
    <row r="34" spans="2:7">
      <c r="B34" s="1"/>
      <c r="C34" s="3"/>
      <c r="D34" s="3"/>
      <c r="E34" s="3"/>
      <c r="F34" s="3"/>
      <c r="G34" s="3"/>
    </row>
    <row r="35" spans="2:7">
      <c r="B35" s="1"/>
      <c r="C35" s="3"/>
      <c r="D35" s="3"/>
      <c r="E35" s="3"/>
      <c r="F35" s="3"/>
      <c r="G35" s="3"/>
    </row>
    <row r="36" spans="2:7">
      <c r="B36" s="1" t="s">
        <v>84</v>
      </c>
      <c r="C36" s="6">
        <v>8.652000000000001</v>
      </c>
      <c r="D36" s="6">
        <v>6.0864</v>
      </c>
      <c r="E36" s="6">
        <v>5.286799999999999</v>
      </c>
      <c r="F36" s="6">
        <v>4.5213</v>
      </c>
      <c r="G36" s="6">
        <v>4.8075</v>
      </c>
    </row>
    <row r="37" spans="2:7">
      <c r="B37" s="1" t="s">
        <v>85</v>
      </c>
      <c r="C37" s="6">
        <v>0</v>
      </c>
      <c r="D37" s="6">
        <v>0.0386</v>
      </c>
      <c r="E37" s="6">
        <v>0.0528</v>
      </c>
      <c r="F37" s="6">
        <v>0.095</v>
      </c>
      <c r="G37" s="6">
        <v>0.1125</v>
      </c>
    </row>
    <row r="38" spans="2:7">
      <c r="B38" s="1" t="s">
        <v>86</v>
      </c>
      <c r="C38" s="6">
        <v>0</v>
      </c>
      <c r="D38" s="6">
        <v>-0.0361</v>
      </c>
      <c r="E38" s="6">
        <v>-0.0229</v>
      </c>
      <c r="F38" s="6">
        <v>0.03700000000000001</v>
      </c>
      <c r="G38" s="6">
        <v>0.1864</v>
      </c>
    </row>
    <row r="39" spans="2:7">
      <c r="B39" s="1" t="s">
        <v>87</v>
      </c>
      <c r="C39" s="6">
        <v>0</v>
      </c>
      <c r="D39" s="6">
        <v>0.403</v>
      </c>
      <c r="E39" s="6">
        <v>0.1369</v>
      </c>
      <c r="F39" s="6">
        <v>0.1539</v>
      </c>
      <c r="G39" s="6">
        <v>-0.0321</v>
      </c>
    </row>
    <row r="40" spans="2:7">
      <c r="B40" s="1" t="s">
        <v>88</v>
      </c>
      <c r="C40" s="6">
        <v>0</v>
      </c>
      <c r="D40" s="6">
        <v>-0.4107</v>
      </c>
      <c r="E40" s="6">
        <v>0.1806</v>
      </c>
      <c r="F40" s="6">
        <v>0.1144</v>
      </c>
      <c r="G40" s="6">
        <v>-0.0391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Income Statement(a)</vt:lpstr>
      <vt:lpstr>Income Statement(q)</vt:lpstr>
      <vt:lpstr>Cash Flow(a)</vt:lpstr>
      <vt:lpstr>Cash Flow(q)</vt:lpstr>
      <vt:lpstr>Balance Sheet(a)</vt:lpstr>
      <vt:lpstr>Balance Sheet(q)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2026-03-10T09:44:41Z</dcterms:created>
  <dcterms:modified xsi:type="dcterms:W3CDTF">2026-03-10T09:44:41Z</dcterms:modified>
</cp:coreProperties>
</file>