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odel\data\output\fa_models\"/>
    </mc:Choice>
  </mc:AlternateContent>
  <xr:revisionPtr revIDLastSave="0" documentId="13_ncr:1_{348CA194-954C-47E7-92E0-15A983403A80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Main" sheetId="1" r:id="rId1"/>
    <sheet name="Income Statement" sheetId="2" r:id="rId2"/>
    <sheet name="Cash Flow" sheetId="3" r:id="rId3"/>
    <sheet name="Balance She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2" l="1"/>
  <c r="E25" i="2"/>
  <c r="F25" i="2"/>
  <c r="C25" i="2"/>
  <c r="F26" i="4"/>
  <c r="E26" i="4"/>
  <c r="F20" i="4"/>
  <c r="E20" i="4"/>
  <c r="D20" i="4"/>
  <c r="D26" i="4" s="1"/>
  <c r="C20" i="4"/>
  <c r="F12" i="4"/>
  <c r="E12" i="4"/>
  <c r="D12" i="4"/>
  <c r="C12" i="4"/>
  <c r="C26" i="4" s="1"/>
  <c r="F24" i="3"/>
  <c r="E24" i="3"/>
  <c r="D24" i="3"/>
  <c r="C24" i="3"/>
  <c r="F19" i="3"/>
  <c r="E19" i="3"/>
  <c r="D19" i="3"/>
  <c r="C19" i="3"/>
  <c r="F7" i="3"/>
  <c r="E7" i="3"/>
  <c r="D7" i="3"/>
  <c r="C7" i="3"/>
  <c r="D23" i="2"/>
  <c r="F22" i="2"/>
  <c r="E22" i="2"/>
  <c r="D22" i="2"/>
  <c r="F9" i="2"/>
  <c r="E9" i="2"/>
  <c r="D9" i="2"/>
  <c r="C9" i="2"/>
  <c r="F5" i="2"/>
  <c r="F10" i="2" s="1"/>
  <c r="E5" i="2"/>
  <c r="E10" i="2" s="1"/>
  <c r="D5" i="2"/>
  <c r="D10" i="2" s="1"/>
  <c r="C5" i="2"/>
  <c r="C10" i="2" s="1"/>
  <c r="J5" i="1"/>
  <c r="J8" i="1" s="1"/>
  <c r="E13" i="2" l="1"/>
  <c r="E16" i="2" s="1"/>
  <c r="E24" i="2"/>
  <c r="F24" i="2"/>
  <c r="F13" i="2"/>
  <c r="F16" i="2" s="1"/>
  <c r="J9" i="1"/>
  <c r="C24" i="2"/>
  <c r="C13" i="2"/>
  <c r="C16" i="2" s="1"/>
  <c r="D13" i="2"/>
  <c r="D16" i="2" s="1"/>
  <c r="D24" i="2"/>
  <c r="C23" i="2"/>
  <c r="E23" i="2"/>
  <c r="F23" i="2"/>
</calcChain>
</file>

<file path=xl/sharedStrings.xml><?xml version="1.0" encoding="utf-8"?>
<sst xmlns="http://schemas.openxmlformats.org/spreadsheetml/2006/main" count="90" uniqueCount="88">
  <si>
    <t>USD (in millions)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</si>
  <si>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</si>
  <si>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</si>
  <si>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</si>
  <si>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</si>
  <si>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</si>
  <si>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</si>
  <si>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</si>
  <si>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</si>
  <si>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</si>
  <si>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</si>
  <si>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</si>
  <si>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</si>
  <si>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</si>
  <si>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</si>
  <si>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</si>
  <si>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Avg Shares</t>
  </si>
  <si>
    <t>Rev Growth</t>
  </si>
  <si>
    <t>Gross Margin</t>
  </si>
  <si>
    <t>Op Margin</t>
  </si>
  <si>
    <t>Net Margin</t>
  </si>
  <si>
    <t>D&amp;A</t>
  </si>
  <si>
    <t>Change In Working Capital</t>
  </si>
  <si>
    <t>Other Adj</t>
  </si>
  <si>
    <t>CFFO</t>
  </si>
  <si>
    <t>Purchase Of Business</t>
  </si>
  <si>
    <t>Purchase Of Investment</t>
  </si>
  <si>
    <t>Sale Of Investment</t>
  </si>
  <si>
    <t>Other Investing</t>
  </si>
  <si>
    <t>CFFI</t>
  </si>
  <si>
    <t>Repayment Of Debt</t>
  </si>
  <si>
    <t>Repurchase Of Capital Stock</t>
  </si>
  <si>
    <t>Cash Dividends Paid</t>
  </si>
  <si>
    <t>Common Stock Issuance</t>
  </si>
  <si>
    <t>Other Financing</t>
  </si>
  <si>
    <t>CFFF</t>
  </si>
  <si>
    <t>Changes In Cash</t>
  </si>
  <si>
    <t>Beginning Cash Position</t>
  </si>
  <si>
    <t>End Cash Position</t>
  </si>
  <si>
    <t>OCF</t>
  </si>
  <si>
    <t>Cap Ex</t>
  </si>
  <si>
    <t>FCF</t>
  </si>
  <si>
    <t>CFGrowth</t>
  </si>
  <si>
    <t>CXChange</t>
  </si>
  <si>
    <t>FCFGrowth</t>
  </si>
  <si>
    <t>FCFMargin</t>
  </si>
  <si>
    <t>Cash &amp; Short Inv</t>
  </si>
  <si>
    <t>Accounts Receivable</t>
  </si>
  <si>
    <t>Inventory</t>
  </si>
  <si>
    <t>Other Current Assets</t>
  </si>
  <si>
    <t>Current Assets</t>
  </si>
  <si>
    <t>PPE</t>
  </si>
  <si>
    <t>Goodwill</t>
  </si>
  <si>
    <t>Other Assets</t>
  </si>
  <si>
    <t>Non-Current Assets</t>
  </si>
  <si>
    <t>Total Assets</t>
  </si>
  <si>
    <t>Accounts Payable</t>
  </si>
  <si>
    <t>Short Term Debt</t>
  </si>
  <si>
    <t>Other Current Liabilities</t>
  </si>
  <si>
    <t>Current Liabilities</t>
  </si>
  <si>
    <t>Long Term Debt</t>
  </si>
  <si>
    <t>Other Liabilities</t>
  </si>
  <si>
    <t>Non-Current Liabilities</t>
  </si>
  <si>
    <t>Total Liabilities</t>
  </si>
  <si>
    <t>Additional Paid In Capital</t>
  </si>
  <si>
    <t>Retained Earnings</t>
  </si>
  <si>
    <t>Accumulated Other Changes</t>
  </si>
  <si>
    <t>Stockholders Equity</t>
  </si>
  <si>
    <t>Non Controlling Interest</t>
  </si>
  <si>
    <t>Total Equity</t>
  </si>
  <si>
    <t>Common Stock Equity</t>
  </si>
  <si>
    <t>Total Debt</t>
  </si>
  <si>
    <t>Net Debt</t>
  </si>
  <si>
    <t>Tangible Assets</t>
  </si>
  <si>
    <t>Invested Capital</t>
  </si>
  <si>
    <t>NCAV</t>
  </si>
  <si>
    <t>Shares</t>
  </si>
  <si>
    <t>D_E</t>
  </si>
  <si>
    <t>Assets Growth</t>
  </si>
  <si>
    <t>TAGrowth</t>
  </si>
  <si>
    <t>Equity Growth</t>
  </si>
  <si>
    <t>ICGrowth</t>
  </si>
  <si>
    <t>Price</t>
  </si>
  <si>
    <t>MC</t>
  </si>
  <si>
    <t>Cash</t>
  </si>
  <si>
    <t>Debt</t>
  </si>
  <si>
    <t>EV</t>
  </si>
  <si>
    <t>NI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</si>
</sst>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9"/>
  <sheetViews>
    <sheetView workbookViewId="0"/>
  </sheetViews>
  <sheetFormatPr defaultRowHeight="14.25" x14ac:dyDescent="0.45"/>
  <cols>
    <col min="2" max="2" width="12.73046875" customWidth="1"/>
    <col min="9" max="9" width="8.73046875" customWidth="1"/>
  </cols>
  <sheetData>
    <row r="3" spans="2:10" x14ac:dyDescent="0.45">
      <c r="B3" s="1" t="s">
        <v>0</v>
      </c>
      <c r="I3" s="1" t="s">
        <v>82</v>
      </c>
      <c r="J3" s="2">
        <v>55.39</v>
      </c>
    </row>
    <row r="4" spans="2:10" x14ac:dyDescent="0.45">
      <c r="I4" s="1" t="s">
        <v>76</v>
      </c>
      <c r="J4" s="3">
        <v>7302.495809351868</v>
      </c>
    </row>
    <row r="5" spans="2:10" x14ac:dyDescent="0.45">
      <c r="I5" s="1" t="s">
        <v>83</v>
      </c>
      <c r="J5" s="3">
        <f>J3*J4</f>
        <v>404485.24287999998</v>
      </c>
    </row>
    <row r="6" spans="2:10" x14ac:dyDescent="0.45">
      <c r="I6" s="1" t="s">
        <v>84</v>
      </c>
      <c r="J6" s="3">
        <v>296486</v>
      </c>
    </row>
    <row r="7" spans="2:10" x14ac:dyDescent="0.45">
      <c r="I7" s="1" t="s">
        <v>85</v>
      </c>
      <c r="J7" s="3">
        <v>326670</v>
      </c>
    </row>
    <row r="8" spans="2:10" x14ac:dyDescent="0.45">
      <c r="I8" s="1" t="s">
        <v>86</v>
      </c>
      <c r="J8" s="3">
        <f>J5+J7-J6</f>
        <v>434669.24288000003</v>
      </c>
    </row>
    <row r="9" spans="2:10" x14ac:dyDescent="0.45">
      <c r="J9" s="4">
        <f>J8/'Income Statement'!E10</f>
        <v>4.4092598257270676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5"/>
  <sheetViews>
    <sheetView tabSelected="1" workbookViewId="0">
      <selection activeCell="C25" sqref="C25:F25"/>
    </sheetView>
  </sheetViews>
  <sheetFormatPr defaultRowHeight="14.25" x14ac:dyDescent="0.45"/>
  <cols>
    <col min="2" max="2" width="20.73046875" customWidth="1"/>
  </cols>
  <sheetData>
    <row r="2" spans="2:6" x14ac:dyDescent="0.45">
      <c r="C2" s="5">
        <v>2021</v>
      </c>
      <c r="D2" s="5">
        <v>2022</v>
      </c>
      <c r="E2" s="5">
        <v>2023</v>
      </c>
      <c r="F2" s="5">
        <v>2024</v>
      </c>
    </row>
    <row r="3" spans="2:6" x14ac:dyDescent="0.45">
      <c r="B3" s="1" t="s">
        <v>1</v>
      </c>
      <c r="C3" s="3">
        <v>89113</v>
      </c>
      <c r="D3" s="3">
        <v>94950</v>
      </c>
      <c r="E3" s="3">
        <v>98581</v>
      </c>
      <c r="F3" s="3">
        <v>101887</v>
      </c>
    </row>
    <row r="4" spans="2:6" x14ac:dyDescent="0.45">
      <c r="B4" s="1" t="s">
        <v>2</v>
      </c>
      <c r="C4" s="3">
        <v>0</v>
      </c>
      <c r="D4" s="3">
        <v>0</v>
      </c>
      <c r="E4" s="3">
        <v>0</v>
      </c>
      <c r="F4" s="3">
        <v>0</v>
      </c>
    </row>
    <row r="5" spans="2:6" x14ac:dyDescent="0.45">
      <c r="B5" s="1" t="s">
        <v>3</v>
      </c>
      <c r="C5" s="3">
        <f>C3+C4</f>
        <v>89113</v>
      </c>
      <c r="D5" s="3">
        <f>D3+D4</f>
        <v>94950</v>
      </c>
      <c r="E5" s="3">
        <f>E3+E4</f>
        <v>98581</v>
      </c>
      <c r="F5" s="3">
        <f>F3+F4</f>
        <v>101887</v>
      </c>
    </row>
    <row r="6" spans="2:6" x14ac:dyDescent="0.45">
      <c r="B6" s="1" t="s">
        <v>4</v>
      </c>
      <c r="C6" s="3">
        <v>0</v>
      </c>
      <c r="D6" s="3">
        <v>0</v>
      </c>
      <c r="E6" s="3">
        <v>0</v>
      </c>
      <c r="F6" s="3">
        <v>0</v>
      </c>
    </row>
    <row r="7" spans="2:6" x14ac:dyDescent="0.45">
      <c r="B7" s="1" t="s">
        <v>5</v>
      </c>
      <c r="C7" s="3">
        <v>0</v>
      </c>
      <c r="D7" s="3">
        <v>0</v>
      </c>
      <c r="E7" s="3">
        <v>0</v>
      </c>
      <c r="F7" s="3">
        <v>0</v>
      </c>
    </row>
    <row r="8" spans="2:6" x14ac:dyDescent="0.45">
      <c r="B8" s="1" t="s">
        <v>6</v>
      </c>
      <c r="C8" s="3">
        <v>0</v>
      </c>
      <c r="D8" s="3">
        <v>0</v>
      </c>
      <c r="E8" s="3">
        <v>0</v>
      </c>
      <c r="F8" s="3">
        <v>0</v>
      </c>
    </row>
    <row r="9" spans="2:6" x14ac:dyDescent="0.45">
      <c r="B9" s="1" t="s">
        <v>7</v>
      </c>
      <c r="C9" s="3">
        <f>C6+C7+C8</f>
        <v>0</v>
      </c>
      <c r="D9" s="3">
        <f>D6+D7+D8</f>
        <v>0</v>
      </c>
      <c r="E9" s="3">
        <f>E6+E7+E8</f>
        <v>0</v>
      </c>
      <c r="F9" s="3">
        <f>F6+F7+F8</f>
        <v>0</v>
      </c>
    </row>
    <row r="10" spans="2:6" x14ac:dyDescent="0.45">
      <c r="B10" s="1" t="s">
        <v>8</v>
      </c>
      <c r="C10" s="3">
        <f>C5+C9</f>
        <v>89113</v>
      </c>
      <c r="D10" s="3">
        <f>D5+D9</f>
        <v>94950</v>
      </c>
      <c r="E10" s="3">
        <f>E5+E9</f>
        <v>98581</v>
      </c>
      <c r="F10" s="3">
        <f>F5+F9</f>
        <v>101887</v>
      </c>
    </row>
    <row r="11" spans="2:6" x14ac:dyDescent="0.45">
      <c r="B11" s="1" t="s">
        <v>9</v>
      </c>
      <c r="C11" s="3">
        <v>0</v>
      </c>
      <c r="D11" s="3">
        <v>0</v>
      </c>
      <c r="E11" s="3">
        <v>0</v>
      </c>
      <c r="F11" s="3">
        <v>0</v>
      </c>
    </row>
    <row r="12" spans="2:6" x14ac:dyDescent="0.45">
      <c r="B12" s="1" t="s">
        <v>10</v>
      </c>
      <c r="C12" s="3">
        <v>0</v>
      </c>
      <c r="D12" s="3">
        <v>0</v>
      </c>
      <c r="E12" s="3">
        <v>0</v>
      </c>
      <c r="F12" s="3">
        <v>0</v>
      </c>
    </row>
    <row r="13" spans="2:6" x14ac:dyDescent="0.45">
      <c r="B13" s="1" t="s">
        <v>11</v>
      </c>
      <c r="C13" s="3">
        <f>C10+C11+C12</f>
        <v>89113</v>
      </c>
      <c r="D13" s="3">
        <f>D10+D11+D12</f>
        <v>94950</v>
      </c>
      <c r="E13" s="3">
        <f>E10+E11+E12</f>
        <v>98581</v>
      </c>
      <c r="F13" s="3">
        <f>F10+F11+F12</f>
        <v>101887</v>
      </c>
    </row>
    <row r="14" spans="2:6" x14ac:dyDescent="0.45">
      <c r="B14" s="1" t="s">
        <v>12</v>
      </c>
      <c r="C14" s="3">
        <v>-1998</v>
      </c>
      <c r="D14" s="3">
        <v>-3441</v>
      </c>
      <c r="E14" s="3">
        <v>-1827</v>
      </c>
      <c r="F14" s="3">
        <v>-2122</v>
      </c>
    </row>
    <row r="15" spans="2:6" x14ac:dyDescent="0.45">
      <c r="B15" s="1" t="s">
        <v>13</v>
      </c>
      <c r="C15" s="3">
        <v>0</v>
      </c>
      <c r="D15" s="3">
        <v>0</v>
      </c>
      <c r="E15" s="3">
        <v>0</v>
      </c>
      <c r="F15" s="3">
        <v>0</v>
      </c>
    </row>
    <row r="16" spans="2:6" x14ac:dyDescent="0.45">
      <c r="B16" s="1" t="s">
        <v>14</v>
      </c>
      <c r="C16" s="3">
        <f>C13+C14+C15</f>
        <v>87115</v>
      </c>
      <c r="D16" s="3">
        <f>D13+D14+D15</f>
        <v>91509</v>
      </c>
      <c r="E16" s="3">
        <f>E13+E14+E15</f>
        <v>96754</v>
      </c>
      <c r="F16" s="3">
        <f>F13+F14+F15</f>
        <v>99765</v>
      </c>
    </row>
    <row r="17" spans="2:6" x14ac:dyDescent="0.45">
      <c r="B17" s="1" t="s">
        <v>15</v>
      </c>
      <c r="C17" s="3">
        <v>-1421</v>
      </c>
      <c r="D17" s="3">
        <v>-1513</v>
      </c>
      <c r="E17" s="3">
        <v>-1649</v>
      </c>
      <c r="F17" s="3">
        <v>-1629</v>
      </c>
    </row>
    <row r="18" spans="2:6" x14ac:dyDescent="0.45">
      <c r="B18" s="1" t="s">
        <v>87</v>
      </c>
      <c r="C18" s="3">
        <v>30557</v>
      </c>
      <c r="D18" s="3">
        <v>26015</v>
      </c>
      <c r="E18" s="3">
        <v>24866</v>
      </c>
      <c r="F18" s="3">
        <v>25503</v>
      </c>
    </row>
    <row r="19" spans="2:6" x14ac:dyDescent="0.45">
      <c r="B19" s="1" t="s">
        <v>16</v>
      </c>
      <c r="C19" s="3">
        <v>8078</v>
      </c>
      <c r="D19" s="3">
        <v>8168</v>
      </c>
      <c r="E19" s="3">
        <v>8080</v>
      </c>
      <c r="F19" s="3">
        <v>7936</v>
      </c>
    </row>
    <row r="20" spans="2:6" x14ac:dyDescent="0.45">
      <c r="B20" s="1"/>
      <c r="C20" s="3"/>
      <c r="D20" s="3"/>
      <c r="E20" s="3"/>
      <c r="F20" s="3"/>
    </row>
    <row r="21" spans="2:6" x14ac:dyDescent="0.45">
      <c r="B21" s="1"/>
      <c r="C21" s="3"/>
      <c r="D21" s="3"/>
      <c r="E21" s="3"/>
      <c r="F21" s="3"/>
    </row>
    <row r="22" spans="2:6" x14ac:dyDescent="0.45">
      <c r="B22" s="1" t="s">
        <v>17</v>
      </c>
      <c r="C22" s="6">
        <v>0</v>
      </c>
      <c r="D22" s="6">
        <f>IFERROR((D3-C3)/C3,0)</f>
        <v>6.5501105338166152E-2</v>
      </c>
      <c r="E22" s="6">
        <f>IFERROR((E3-D3)/D3,0)</f>
        <v>3.8241179568193784E-2</v>
      </c>
      <c r="F22" s="6">
        <f>IFERROR((F3-E3)/E3,0)</f>
        <v>3.3535874052809368E-2</v>
      </c>
    </row>
    <row r="23" spans="2:6" x14ac:dyDescent="0.45">
      <c r="B23" s="1" t="s">
        <v>18</v>
      </c>
      <c r="C23" s="6">
        <f>C5/C3</f>
        <v>1</v>
      </c>
      <c r="D23" s="6">
        <f>D5/D3</f>
        <v>1</v>
      </c>
      <c r="E23" s="6">
        <f>E5/E3</f>
        <v>1</v>
      </c>
      <c r="F23" s="6">
        <f>F5/F3</f>
        <v>1</v>
      </c>
    </row>
    <row r="24" spans="2:6" x14ac:dyDescent="0.45">
      <c r="B24" s="1" t="s">
        <v>19</v>
      </c>
      <c r="C24" s="6">
        <f>C10/C3</f>
        <v>1</v>
      </c>
      <c r="D24" s="6">
        <f>D10/D3</f>
        <v>1</v>
      </c>
      <c r="E24" s="6">
        <f>E10/E3</f>
        <v>1</v>
      </c>
      <c r="F24" s="6">
        <f>F10/F3</f>
        <v>1</v>
      </c>
    </row>
    <row r="25" spans="2:6" x14ac:dyDescent="0.45">
      <c r="B25" s="1" t="s">
        <v>20</v>
      </c>
      <c r="C25" s="6">
        <f>C18/C3</f>
        <v>0.3429017090660173</v>
      </c>
      <c r="D25" s="6">
        <f t="shared" ref="D25:F25" si="0">D18/D3</f>
        <v>0.27398630858346495</v>
      </c>
      <c r="E25" s="6">
        <f t="shared" si="0"/>
        <v>0.25223927531674462</v>
      </c>
      <c r="F25" s="6">
        <f t="shared" si="0"/>
        <v>0.25030671233817858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0"/>
  <sheetViews>
    <sheetView workbookViewId="0"/>
  </sheetViews>
  <sheetFormatPr defaultRowHeight="14.25" x14ac:dyDescent="0.45"/>
  <cols>
    <col min="2" max="2" width="29.73046875" customWidth="1"/>
  </cols>
  <sheetData>
    <row r="2" spans="2:6" x14ac:dyDescent="0.45">
      <c r="C2" s="5">
        <v>2021</v>
      </c>
      <c r="D2" s="5">
        <v>2022</v>
      </c>
      <c r="E2" s="5">
        <v>2023</v>
      </c>
      <c r="F2" s="5">
        <v>2024</v>
      </c>
    </row>
    <row r="3" spans="2:6" x14ac:dyDescent="0.45">
      <c r="B3" s="1" t="s">
        <v>14</v>
      </c>
      <c r="C3" s="3">
        <v>31978</v>
      </c>
      <c r="D3" s="3">
        <v>27528</v>
      </c>
      <c r="E3" s="3">
        <v>26515</v>
      </c>
      <c r="F3" s="3">
        <v>27132</v>
      </c>
    </row>
    <row r="4" spans="2:6" x14ac:dyDescent="0.45">
      <c r="B4" s="1" t="s">
        <v>21</v>
      </c>
      <c r="C4" s="3">
        <v>1898</v>
      </c>
      <c r="D4" s="3">
        <v>1978</v>
      </c>
      <c r="E4" s="3">
        <v>2057</v>
      </c>
      <c r="F4" s="3">
        <v>2189</v>
      </c>
    </row>
    <row r="5" spans="2:6" x14ac:dyDescent="0.45">
      <c r="B5" s="1" t="s">
        <v>22</v>
      </c>
      <c r="C5" s="3">
        <v>-39920</v>
      </c>
      <c r="D5" s="3">
        <v>-51944</v>
      </c>
      <c r="E5" s="3">
        <v>2728</v>
      </c>
      <c r="F5" s="3">
        <v>-48546</v>
      </c>
    </row>
    <row r="6" spans="2:6" x14ac:dyDescent="0.45">
      <c r="B6" s="1" t="s">
        <v>23</v>
      </c>
      <c r="C6" s="3">
        <v>-1149</v>
      </c>
      <c r="D6" s="3">
        <v>16111</v>
      </c>
      <c r="E6" s="3">
        <v>13682</v>
      </c>
      <c r="F6" s="3">
        <v>10420</v>
      </c>
    </row>
    <row r="7" spans="2:6" x14ac:dyDescent="0.45">
      <c r="B7" s="1" t="s">
        <v>24</v>
      </c>
      <c r="C7" s="3">
        <f>C3+C4</f>
        <v>33876</v>
      </c>
      <c r="D7" s="3">
        <f>D3+D4</f>
        <v>29506</v>
      </c>
      <c r="E7" s="3">
        <f>E3+E4</f>
        <v>28572</v>
      </c>
      <c r="F7" s="3">
        <f>F3+F4</f>
        <v>29321</v>
      </c>
    </row>
    <row r="8" spans="2:6" x14ac:dyDescent="0.45">
      <c r="B8" s="1" t="s">
        <v>25</v>
      </c>
      <c r="C8" s="3">
        <v>0</v>
      </c>
      <c r="D8" s="3">
        <v>0</v>
      </c>
      <c r="E8" s="3">
        <v>0</v>
      </c>
      <c r="F8" s="3">
        <v>0</v>
      </c>
    </row>
    <row r="9" spans="2:6" x14ac:dyDescent="0.45">
      <c r="B9" s="1" t="s">
        <v>26</v>
      </c>
      <c r="C9" s="3">
        <v>-601134</v>
      </c>
      <c r="D9" s="3">
        <v>-159058</v>
      </c>
      <c r="E9" s="3">
        <v>-291057</v>
      </c>
      <c r="F9" s="3">
        <v>-390911</v>
      </c>
    </row>
    <row r="10" spans="2:6" x14ac:dyDescent="0.45">
      <c r="B10" s="1" t="s">
        <v>27</v>
      </c>
      <c r="C10" s="3">
        <v>291389</v>
      </c>
      <c r="D10" s="3">
        <v>243161</v>
      </c>
      <c r="E10" s="3">
        <v>286819</v>
      </c>
      <c r="F10" s="3">
        <v>342455</v>
      </c>
    </row>
    <row r="11" spans="2:6" x14ac:dyDescent="0.45">
      <c r="B11" s="1" t="s">
        <v>28</v>
      </c>
      <c r="C11" s="3">
        <v>-3546</v>
      </c>
      <c r="D11" s="3">
        <v>-86632</v>
      </c>
      <c r="E11" s="3">
        <v>-31149</v>
      </c>
      <c r="F11" s="3">
        <v>-42237</v>
      </c>
    </row>
    <row r="12" spans="2:6" x14ac:dyDescent="0.45">
      <c r="B12" s="1" t="s">
        <v>29</v>
      </c>
      <c r="C12" s="3">
        <v>-313291</v>
      </c>
      <c r="D12" s="3">
        <v>-2529</v>
      </c>
      <c r="E12" s="3">
        <v>-35387</v>
      </c>
      <c r="F12" s="3">
        <v>-90693</v>
      </c>
    </row>
    <row r="13" spans="2:6" x14ac:dyDescent="0.45">
      <c r="B13" s="1" t="s">
        <v>30</v>
      </c>
      <c r="C13" s="3">
        <v>-46826</v>
      </c>
      <c r="D13" s="3">
        <v>-34055</v>
      </c>
      <c r="E13" s="3">
        <v>-44571</v>
      </c>
      <c r="F13" s="3">
        <v>-70411</v>
      </c>
    </row>
    <row r="14" spans="2:6" x14ac:dyDescent="0.45">
      <c r="B14" s="1" t="s">
        <v>31</v>
      </c>
      <c r="C14" s="3">
        <v>-27097</v>
      </c>
      <c r="D14" s="3">
        <v>-5727</v>
      </c>
      <c r="E14" s="3">
        <v>-4576</v>
      </c>
      <c r="F14" s="3">
        <v>-18358</v>
      </c>
    </row>
    <row r="15" spans="2:6" x14ac:dyDescent="0.45">
      <c r="B15" s="1" t="s">
        <v>32</v>
      </c>
      <c r="C15" s="3">
        <v>-8055</v>
      </c>
      <c r="D15" s="3">
        <v>-8576</v>
      </c>
      <c r="E15" s="3">
        <v>-9087</v>
      </c>
      <c r="F15" s="3">
        <v>-9503</v>
      </c>
    </row>
    <row r="16" spans="2:6" x14ac:dyDescent="0.45">
      <c r="B16" s="1" t="s">
        <v>33</v>
      </c>
      <c r="C16" s="3">
        <v>0</v>
      </c>
      <c r="D16" s="3">
        <v>0</v>
      </c>
      <c r="E16" s="3">
        <v>0</v>
      </c>
      <c r="F16" s="3">
        <v>0</v>
      </c>
    </row>
    <row r="17" spans="2:6" x14ac:dyDescent="0.45">
      <c r="B17" s="1" t="s">
        <v>34</v>
      </c>
      <c r="C17" s="3">
        <v>373628</v>
      </c>
      <c r="D17" s="3">
        <v>-57681</v>
      </c>
      <c r="E17" s="3">
        <v>151579</v>
      </c>
      <c r="F17" s="3">
        <v>158641</v>
      </c>
    </row>
    <row r="18" spans="2:6" x14ac:dyDescent="0.45">
      <c r="B18" s="1" t="s">
        <v>35</v>
      </c>
      <c r="C18" s="3">
        <v>291650</v>
      </c>
      <c r="D18" s="3">
        <v>-106039</v>
      </c>
      <c r="E18" s="3">
        <v>93345</v>
      </c>
      <c r="F18" s="3">
        <v>60369</v>
      </c>
    </row>
    <row r="19" spans="2:6" x14ac:dyDescent="0.45">
      <c r="B19" s="1" t="s">
        <v>36</v>
      </c>
      <c r="C19" s="3">
        <f>C7+C12+C18</f>
        <v>12235</v>
      </c>
      <c r="D19" s="3">
        <f>D7+D12+D18</f>
        <v>-79062</v>
      </c>
      <c r="E19" s="3">
        <f>E7+E12+E18</f>
        <v>86530</v>
      </c>
      <c r="F19" s="3">
        <f>F7+F12+F18</f>
        <v>-1003</v>
      </c>
    </row>
    <row r="20" spans="2:6" x14ac:dyDescent="0.45">
      <c r="B20" s="1" t="s">
        <v>37</v>
      </c>
      <c r="C20" s="3">
        <v>380463</v>
      </c>
      <c r="D20" s="3">
        <v>348221</v>
      </c>
      <c r="E20" s="3">
        <v>230203</v>
      </c>
      <c r="F20" s="3">
        <v>333073</v>
      </c>
    </row>
    <row r="21" spans="2:6" x14ac:dyDescent="0.45">
      <c r="B21" s="1" t="s">
        <v>38</v>
      </c>
      <c r="C21" s="3">
        <v>348221</v>
      </c>
      <c r="D21" s="3">
        <v>230203</v>
      </c>
      <c r="E21" s="3">
        <v>333073</v>
      </c>
      <c r="F21" s="3">
        <v>290114</v>
      </c>
    </row>
    <row r="22" spans="2:6" x14ac:dyDescent="0.45">
      <c r="B22" s="1" t="s">
        <v>39</v>
      </c>
      <c r="C22" s="3">
        <v>-7193</v>
      </c>
      <c r="D22" s="3">
        <v>-6327</v>
      </c>
      <c r="E22" s="3">
        <v>44982</v>
      </c>
      <c r="F22" s="3">
        <v>-8805</v>
      </c>
    </row>
    <row r="23" spans="2:6" x14ac:dyDescent="0.45">
      <c r="B23" s="1" t="s">
        <v>40</v>
      </c>
      <c r="C23" s="3">
        <v>0</v>
      </c>
      <c r="D23" s="3">
        <v>0</v>
      </c>
      <c r="E23" s="3">
        <v>0</v>
      </c>
      <c r="F23" s="3">
        <v>0</v>
      </c>
    </row>
    <row r="24" spans="2:6" x14ac:dyDescent="0.45">
      <c r="B24" s="1" t="s">
        <v>41</v>
      </c>
      <c r="C24" s="3">
        <f>C22</f>
        <v>-7193</v>
      </c>
      <c r="D24" s="3">
        <f>D22</f>
        <v>-6327</v>
      </c>
      <c r="E24" s="3">
        <f>E22</f>
        <v>44982</v>
      </c>
      <c r="F24" s="3">
        <f>F22</f>
        <v>-8805</v>
      </c>
    </row>
    <row r="25" spans="2:6" x14ac:dyDescent="0.45">
      <c r="B25" s="1"/>
      <c r="C25" s="3"/>
      <c r="D25" s="3"/>
      <c r="E25" s="3"/>
      <c r="F25" s="3"/>
    </row>
    <row r="26" spans="2:6" x14ac:dyDescent="0.45">
      <c r="B26" s="1"/>
      <c r="C26" s="3"/>
      <c r="D26" s="3"/>
      <c r="E26" s="3"/>
      <c r="F26" s="3"/>
    </row>
    <row r="27" spans="2:6" x14ac:dyDescent="0.45">
      <c r="B27" s="1" t="s">
        <v>42</v>
      </c>
      <c r="C27" s="6">
        <v>0</v>
      </c>
      <c r="D27" s="6">
        <v>-0.12039999999999999</v>
      </c>
      <c r="E27" s="6">
        <v>0</v>
      </c>
      <c r="F27" s="6">
        <v>0</v>
      </c>
    </row>
    <row r="28" spans="2:6" x14ac:dyDescent="0.45">
      <c r="B28" s="1" t="s">
        <v>43</v>
      </c>
      <c r="C28" s="6">
        <v>0</v>
      </c>
      <c r="D28" s="6">
        <v>0</v>
      </c>
      <c r="E28" s="6">
        <v>0</v>
      </c>
      <c r="F28" s="6">
        <v>0</v>
      </c>
    </row>
    <row r="29" spans="2:6" x14ac:dyDescent="0.45">
      <c r="B29" s="1" t="s">
        <v>44</v>
      </c>
      <c r="C29" s="6">
        <v>0</v>
      </c>
      <c r="D29" s="6">
        <v>-0.12039999999999999</v>
      </c>
      <c r="E29" s="6">
        <v>0</v>
      </c>
      <c r="F29" s="6">
        <v>0</v>
      </c>
    </row>
    <row r="30" spans="2:6" x14ac:dyDescent="0.45">
      <c r="B30" s="1" t="s">
        <v>45</v>
      </c>
      <c r="C30" s="6">
        <v>0</v>
      </c>
      <c r="D30" s="6">
        <v>0</v>
      </c>
      <c r="E30" s="6">
        <v>1</v>
      </c>
      <c r="F30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40"/>
  <sheetViews>
    <sheetView workbookViewId="0"/>
  </sheetViews>
  <sheetFormatPr defaultRowHeight="14.25" x14ac:dyDescent="0.45"/>
  <cols>
    <col min="2" max="2" width="28.73046875" customWidth="1"/>
  </cols>
  <sheetData>
    <row r="2" spans="2:6" x14ac:dyDescent="0.45">
      <c r="C2" s="5">
        <v>2021</v>
      </c>
      <c r="D2" s="5">
        <v>2022</v>
      </c>
      <c r="E2" s="5">
        <v>2023</v>
      </c>
      <c r="F2" s="5">
        <v>2024</v>
      </c>
    </row>
    <row r="3" spans="2:6" x14ac:dyDescent="0.45">
      <c r="B3" s="1" t="s">
        <v>46</v>
      </c>
      <c r="C3" s="3">
        <v>355365</v>
      </c>
      <c r="D3" s="3">
        <v>237462</v>
      </c>
      <c r="E3" s="3">
        <v>341419</v>
      </c>
      <c r="F3" s="3">
        <v>296486</v>
      </c>
    </row>
    <row r="4" spans="2:6" x14ac:dyDescent="0.45">
      <c r="B4" s="1" t="s">
        <v>47</v>
      </c>
      <c r="C4" s="3">
        <v>72263</v>
      </c>
      <c r="D4" s="3">
        <v>67543</v>
      </c>
      <c r="E4" s="3">
        <v>81881</v>
      </c>
      <c r="F4" s="3">
        <v>82247</v>
      </c>
    </row>
    <row r="5" spans="2:6" x14ac:dyDescent="0.45">
      <c r="B5" s="1" t="s">
        <v>48</v>
      </c>
      <c r="C5" s="3">
        <v>0</v>
      </c>
      <c r="D5" s="3">
        <v>0</v>
      </c>
      <c r="E5" s="3">
        <v>0</v>
      </c>
      <c r="F5" s="3">
        <v>0</v>
      </c>
    </row>
    <row r="6" spans="2:6" x14ac:dyDescent="0.45">
      <c r="B6" s="1" t="s">
        <v>49</v>
      </c>
      <c r="C6" s="3">
        <v>-427628</v>
      </c>
      <c r="D6" s="3">
        <v>-305005</v>
      </c>
      <c r="E6" s="3">
        <v>-423300</v>
      </c>
      <c r="F6" s="3">
        <v>-378733</v>
      </c>
    </row>
    <row r="7" spans="2:6" x14ac:dyDescent="0.45">
      <c r="B7" s="1" t="s">
        <v>50</v>
      </c>
      <c r="C7" s="3">
        <v>0</v>
      </c>
      <c r="D7" s="3">
        <v>0</v>
      </c>
      <c r="E7" s="3">
        <v>0</v>
      </c>
      <c r="F7" s="3">
        <v>0</v>
      </c>
    </row>
    <row r="8" spans="2:6" x14ac:dyDescent="0.45">
      <c r="B8" s="1" t="s">
        <v>51</v>
      </c>
      <c r="C8" s="3">
        <v>10833</v>
      </c>
      <c r="D8" s="3">
        <v>11510</v>
      </c>
      <c r="E8" s="3">
        <v>11855</v>
      </c>
      <c r="F8" s="3">
        <v>12168</v>
      </c>
    </row>
    <row r="9" spans="2:6" x14ac:dyDescent="0.45">
      <c r="B9" s="1" t="s">
        <v>52</v>
      </c>
      <c r="C9" s="3">
        <v>69022</v>
      </c>
      <c r="D9" s="3">
        <v>69022</v>
      </c>
      <c r="E9" s="3">
        <v>69021</v>
      </c>
      <c r="F9" s="3">
        <v>69021</v>
      </c>
    </row>
    <row r="10" spans="2:6" x14ac:dyDescent="0.45">
      <c r="B10" s="1" t="s">
        <v>53</v>
      </c>
      <c r="C10" s="3">
        <v>-79855</v>
      </c>
      <c r="D10" s="3">
        <v>-80532</v>
      </c>
      <c r="E10" s="3">
        <v>-80876</v>
      </c>
      <c r="F10" s="3">
        <v>-81189</v>
      </c>
    </row>
    <row r="11" spans="2:6" x14ac:dyDescent="0.45">
      <c r="B11" s="1" t="s">
        <v>54</v>
      </c>
      <c r="C11" s="3">
        <v>0</v>
      </c>
      <c r="D11" s="3">
        <v>0</v>
      </c>
      <c r="E11" s="3">
        <v>0</v>
      </c>
      <c r="F11" s="3">
        <v>0</v>
      </c>
    </row>
    <row r="12" spans="2:6" x14ac:dyDescent="0.45">
      <c r="B12" s="1" t="s">
        <v>55</v>
      </c>
      <c r="C12" s="3">
        <f>C7+C11</f>
        <v>0</v>
      </c>
      <c r="D12" s="3">
        <f>D7+D11</f>
        <v>0</v>
      </c>
      <c r="E12" s="3">
        <f>E7+E11</f>
        <v>0</v>
      </c>
      <c r="F12" s="3">
        <f>F7+F11</f>
        <v>0</v>
      </c>
    </row>
    <row r="13" spans="2:6" x14ac:dyDescent="0.45">
      <c r="B13" s="1" t="s">
        <v>56</v>
      </c>
      <c r="C13" s="3">
        <v>0</v>
      </c>
      <c r="D13" s="3">
        <v>0</v>
      </c>
      <c r="E13" s="3">
        <v>0</v>
      </c>
      <c r="F13" s="3">
        <v>0</v>
      </c>
    </row>
    <row r="14" spans="2:6" x14ac:dyDescent="0.45">
      <c r="B14" s="1" t="s">
        <v>57</v>
      </c>
      <c r="C14" s="3">
        <v>23753</v>
      </c>
      <c r="D14" s="3">
        <v>26932</v>
      </c>
      <c r="E14" s="3">
        <v>32098</v>
      </c>
      <c r="F14" s="3">
        <v>43391</v>
      </c>
    </row>
    <row r="15" spans="2:6" x14ac:dyDescent="0.45">
      <c r="B15" s="1" t="s">
        <v>58</v>
      </c>
      <c r="C15" s="3">
        <v>-23753</v>
      </c>
      <c r="D15" s="3">
        <v>-26932</v>
      </c>
      <c r="E15" s="3">
        <v>-32098</v>
      </c>
      <c r="F15" s="3">
        <v>-43391</v>
      </c>
    </row>
    <row r="16" spans="2:6" x14ac:dyDescent="0.45">
      <c r="B16" s="1" t="s">
        <v>59</v>
      </c>
      <c r="C16" s="3">
        <v>0</v>
      </c>
      <c r="D16" s="3">
        <v>0</v>
      </c>
      <c r="E16" s="3">
        <v>0</v>
      </c>
      <c r="F16" s="3">
        <v>0</v>
      </c>
    </row>
    <row r="17" spans="2:6" x14ac:dyDescent="0.45">
      <c r="B17" s="1" t="s">
        <v>60</v>
      </c>
      <c r="C17" s="3">
        <v>280117</v>
      </c>
      <c r="D17" s="3">
        <v>275982</v>
      </c>
      <c r="E17" s="3">
        <v>302204</v>
      </c>
      <c r="F17" s="3">
        <v>283279</v>
      </c>
    </row>
    <row r="18" spans="2:6" x14ac:dyDescent="0.45">
      <c r="B18" s="1" t="s">
        <v>61</v>
      </c>
      <c r="C18" s="3">
        <v>-280117</v>
      </c>
      <c r="D18" s="3">
        <v>-275982</v>
      </c>
      <c r="E18" s="3">
        <v>-302204</v>
      </c>
      <c r="F18" s="3">
        <v>-283279</v>
      </c>
    </row>
    <row r="19" spans="2:6" x14ac:dyDescent="0.45">
      <c r="B19" s="1" t="s">
        <v>62</v>
      </c>
      <c r="C19" s="3">
        <v>0</v>
      </c>
      <c r="D19" s="3">
        <v>0</v>
      </c>
      <c r="E19" s="3">
        <v>0</v>
      </c>
      <c r="F19" s="3">
        <v>0</v>
      </c>
    </row>
    <row r="20" spans="2:6" x14ac:dyDescent="0.45">
      <c r="B20" s="1" t="s">
        <v>63</v>
      </c>
      <c r="C20" s="3">
        <f>C16+C19</f>
        <v>0</v>
      </c>
      <c r="D20" s="3">
        <f>D16+D19</f>
        <v>0</v>
      </c>
      <c r="E20" s="3">
        <f>E16+E19</f>
        <v>0</v>
      </c>
      <c r="F20" s="3">
        <f>F16+F19</f>
        <v>0</v>
      </c>
    </row>
    <row r="21" spans="2:6" x14ac:dyDescent="0.45">
      <c r="B21" s="1" t="s">
        <v>64</v>
      </c>
      <c r="C21" s="3">
        <v>0</v>
      </c>
      <c r="D21" s="3">
        <v>0</v>
      </c>
      <c r="E21" s="3">
        <v>0</v>
      </c>
      <c r="F21" s="3">
        <v>0</v>
      </c>
    </row>
    <row r="22" spans="2:6" x14ac:dyDescent="0.45">
      <c r="B22" s="1" t="s">
        <v>65</v>
      </c>
      <c r="C22" s="3">
        <v>188064</v>
      </c>
      <c r="D22" s="3">
        <v>207003</v>
      </c>
      <c r="E22" s="3">
        <v>224672</v>
      </c>
      <c r="F22" s="3">
        <v>242349</v>
      </c>
    </row>
    <row r="23" spans="2:6" x14ac:dyDescent="0.45">
      <c r="B23" s="1" t="s">
        <v>66</v>
      </c>
      <c r="C23" s="3">
        <v>82002</v>
      </c>
      <c r="D23" s="3">
        <v>66194</v>
      </c>
      <c r="E23" s="3">
        <v>66974</v>
      </c>
      <c r="F23" s="3">
        <v>53210</v>
      </c>
    </row>
    <row r="24" spans="2:6" x14ac:dyDescent="0.45">
      <c r="B24" s="1" t="s">
        <v>67</v>
      </c>
      <c r="C24" s="3">
        <v>270066</v>
      </c>
      <c r="D24" s="3">
        <v>273197</v>
      </c>
      <c r="E24" s="3">
        <v>291646</v>
      </c>
      <c r="F24" s="3">
        <v>295559</v>
      </c>
    </row>
    <row r="25" spans="2:6" x14ac:dyDescent="0.45">
      <c r="B25" s="1" t="s">
        <v>68</v>
      </c>
      <c r="C25" s="3">
        <v>0</v>
      </c>
      <c r="D25" s="3">
        <v>0</v>
      </c>
      <c r="E25" s="3">
        <v>0</v>
      </c>
      <c r="F25" s="3">
        <v>0</v>
      </c>
    </row>
    <row r="26" spans="2:6" x14ac:dyDescent="0.45">
      <c r="B26" s="1" t="s">
        <v>69</v>
      </c>
      <c r="C26" s="3">
        <f>C12+C20</f>
        <v>0</v>
      </c>
      <c r="D26" s="3">
        <f>D12+D20</f>
        <v>0</v>
      </c>
      <c r="E26" s="3">
        <f>E12+E20</f>
        <v>0</v>
      </c>
      <c r="F26" s="3">
        <f>F12+F20</f>
        <v>0</v>
      </c>
    </row>
    <row r="27" spans="2:6" x14ac:dyDescent="0.45">
      <c r="B27" s="1" t="s">
        <v>70</v>
      </c>
      <c r="C27" s="3">
        <v>245358</v>
      </c>
      <c r="D27" s="3">
        <v>244800</v>
      </c>
      <c r="E27" s="3">
        <v>263249</v>
      </c>
      <c r="F27" s="3">
        <v>272400</v>
      </c>
    </row>
    <row r="28" spans="2:6" x14ac:dyDescent="0.45">
      <c r="B28" s="1" t="s">
        <v>71</v>
      </c>
      <c r="C28" s="3">
        <v>303870</v>
      </c>
      <c r="D28" s="3">
        <v>302914</v>
      </c>
      <c r="E28" s="3">
        <v>334302</v>
      </c>
      <c r="F28" s="3">
        <v>326670</v>
      </c>
    </row>
    <row r="29" spans="2:6" x14ac:dyDescent="0.45">
      <c r="B29" s="1" t="s">
        <v>72</v>
      </c>
      <c r="C29" s="3">
        <v>-51495</v>
      </c>
      <c r="D29" s="3">
        <v>65452</v>
      </c>
      <c r="E29" s="3">
        <v>-7117</v>
      </c>
      <c r="F29" s="3">
        <v>30184</v>
      </c>
    </row>
    <row r="30" spans="2:6" x14ac:dyDescent="0.45">
      <c r="B30" s="1" t="s">
        <v>73</v>
      </c>
      <c r="C30" s="3">
        <v>10833</v>
      </c>
      <c r="D30" s="3">
        <v>11510</v>
      </c>
      <c r="E30" s="3">
        <v>11855</v>
      </c>
      <c r="F30" s="3">
        <v>12168</v>
      </c>
    </row>
    <row r="31" spans="2:6" x14ac:dyDescent="0.45">
      <c r="B31" s="1" t="s">
        <v>74</v>
      </c>
      <c r="C31" s="3">
        <v>270066</v>
      </c>
      <c r="D31" s="3">
        <v>338649</v>
      </c>
      <c r="E31" s="3">
        <v>291646</v>
      </c>
      <c r="F31" s="3">
        <v>325743</v>
      </c>
    </row>
    <row r="32" spans="2:6" x14ac:dyDescent="0.45">
      <c r="B32" s="1" t="s">
        <v>75</v>
      </c>
      <c r="C32" s="3">
        <v>-2899429</v>
      </c>
      <c r="D32" s="3">
        <v>-2778178</v>
      </c>
      <c r="E32" s="3">
        <v>-2888505</v>
      </c>
      <c r="F32" s="3">
        <v>-2965960</v>
      </c>
    </row>
    <row r="33" spans="2:6" x14ac:dyDescent="0.45">
      <c r="B33" s="1" t="s">
        <v>76</v>
      </c>
      <c r="C33" s="3">
        <v>8078</v>
      </c>
      <c r="D33" s="3">
        <v>7997</v>
      </c>
      <c r="E33" s="3">
        <v>7895</v>
      </c>
      <c r="F33" s="3">
        <v>7611</v>
      </c>
    </row>
    <row r="34" spans="2:6" x14ac:dyDescent="0.45">
      <c r="B34" s="1"/>
      <c r="C34" s="3"/>
      <c r="D34" s="3"/>
      <c r="E34" s="3"/>
      <c r="F34" s="3"/>
    </row>
    <row r="35" spans="2:6" x14ac:dyDescent="0.45">
      <c r="B35" s="1"/>
      <c r="C35" s="3"/>
      <c r="D35" s="3"/>
      <c r="E35" s="3"/>
      <c r="F35" s="3"/>
    </row>
    <row r="36" spans="2:6" x14ac:dyDescent="0.45">
      <c r="B36" s="1" t="s">
        <v>77</v>
      </c>
      <c r="C36" s="6">
        <v>1.1252</v>
      </c>
      <c r="D36" s="6">
        <v>1.1088</v>
      </c>
      <c r="E36" s="6">
        <v>1.1463000000000001</v>
      </c>
      <c r="F36" s="6">
        <v>1.1052999999999999</v>
      </c>
    </row>
    <row r="37" spans="2:6" x14ac:dyDescent="0.45">
      <c r="B37" s="1" t="s">
        <v>78</v>
      </c>
      <c r="C37" s="6">
        <v>0</v>
      </c>
      <c r="D37" s="6">
        <v>-3.73E-2</v>
      </c>
      <c r="E37" s="6">
        <v>4.2199999999999988E-2</v>
      </c>
      <c r="F37" s="6">
        <v>2.5600000000000001E-2</v>
      </c>
    </row>
    <row r="38" spans="2:6" x14ac:dyDescent="0.45">
      <c r="B38" s="1" t="s">
        <v>79</v>
      </c>
      <c r="C38" s="6">
        <v>0</v>
      </c>
      <c r="D38" s="6">
        <v>6.25E-2</v>
      </c>
      <c r="E38" s="6">
        <v>0.03</v>
      </c>
      <c r="F38" s="6">
        <v>2.64E-2</v>
      </c>
    </row>
    <row r="39" spans="2:6" x14ac:dyDescent="0.45">
      <c r="B39" s="1" t="s">
        <v>80</v>
      </c>
      <c r="C39" s="6">
        <v>0</v>
      </c>
      <c r="D39" s="6">
        <v>-2.3E-3</v>
      </c>
      <c r="E39" s="6">
        <v>7.5399999999999995E-2</v>
      </c>
      <c r="F39" s="6">
        <v>3.4799999999999998E-2</v>
      </c>
    </row>
    <row r="40" spans="2:6" x14ac:dyDescent="0.45">
      <c r="B40" s="1" t="s">
        <v>81</v>
      </c>
      <c r="C40" s="6">
        <v>0</v>
      </c>
      <c r="D40" s="6">
        <v>0.25390000000000001</v>
      </c>
      <c r="E40" s="6">
        <v>-0.13880000000000001</v>
      </c>
      <c r="F40" s="6">
        <v>0.1169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Income Statement</vt:lpstr>
      <vt:lpstr>Cash Flow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Hp</cp:lastModifiedBy>
  <dcterms:created xsi:type="dcterms:W3CDTF">2026-02-11T09:59:55Z</dcterms:created>
  <dcterms:modified xsi:type="dcterms:W3CDTF">2026-02-11T10:01:35Z</dcterms:modified>
</cp:coreProperties>
</file>